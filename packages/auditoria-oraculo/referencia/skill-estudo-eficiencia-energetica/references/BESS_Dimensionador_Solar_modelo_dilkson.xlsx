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87ECC149-88AB-4E06-86A7-DE5EFE24DDB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imensionador" sheetId="1" r:id="rId1"/>
    <sheet name="Fluxo 20 Anos" sheetId="2" r:id="rId2"/>
    <sheet name="Premiss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2" l="1"/>
  <c r="L18" i="2"/>
  <c r="M19" i="2"/>
  <c r="L6" i="2"/>
  <c r="C28" i="1"/>
  <c r="C35" i="1"/>
  <c r="G13" i="3"/>
  <c r="C25" i="3"/>
  <c r="C13" i="3"/>
  <c r="C44" i="1" s="1"/>
  <c r="C12" i="3"/>
  <c r="C18" i="1" s="1"/>
  <c r="J12" i="3"/>
  <c r="H12" i="3"/>
  <c r="C63" i="3"/>
  <c r="C62" i="3"/>
  <c r="H232" i="2" s="1"/>
  <c r="C61" i="3"/>
  <c r="H207" i="2" s="1"/>
  <c r="C60" i="3"/>
  <c r="H182" i="2" s="1"/>
  <c r="C59" i="3"/>
  <c r="C58" i="3"/>
  <c r="C57" i="3"/>
  <c r="H239" i="2" s="1"/>
  <c r="C56" i="3"/>
  <c r="H238" i="2" s="1"/>
  <c r="I238" i="2" s="1"/>
  <c r="Q238" i="2" s="1"/>
  <c r="C55" i="3"/>
  <c r="H225" i="2" s="1"/>
  <c r="I225" i="2" s="1"/>
  <c r="C54" i="3"/>
  <c r="H212" i="2" s="1"/>
  <c r="C53" i="3"/>
  <c r="H115" i="2" s="1"/>
  <c r="C52" i="3"/>
  <c r="H138" i="2" s="1"/>
  <c r="I138" i="2" s="1"/>
  <c r="Q138" i="2" s="1"/>
  <c r="C50" i="3"/>
  <c r="C36" i="3"/>
  <c r="C35" i="3"/>
  <c r="C54" i="1" s="1"/>
  <c r="C21" i="3"/>
  <c r="E224" i="2" s="1"/>
  <c r="C20" i="3"/>
  <c r="F245" i="2" s="1"/>
  <c r="C11" i="3"/>
  <c r="C59" i="1"/>
  <c r="C39" i="1"/>
  <c r="C38" i="1"/>
  <c r="C37" i="1"/>
  <c r="C23" i="1"/>
  <c r="C26" i="1" s="1"/>
  <c r="C22" i="1"/>
  <c r="E244" i="2" s="1"/>
  <c r="C19" i="1"/>
  <c r="C17" i="1"/>
  <c r="C16" i="1"/>
  <c r="C15" i="1"/>
  <c r="C14" i="1"/>
  <c r="C13" i="1"/>
  <c r="C12" i="1"/>
  <c r="C11" i="1"/>
  <c r="G198" i="2"/>
  <c r="C6" i="1"/>
  <c r="K245" i="2"/>
  <c r="O246" i="2" s="1"/>
  <c r="H245" i="2"/>
  <c r="I245" i="2" s="1"/>
  <c r="Q245" i="2" s="1"/>
  <c r="D245" i="2"/>
  <c r="C245" i="2"/>
  <c r="D244" i="2"/>
  <c r="C244" i="2"/>
  <c r="K243" i="2"/>
  <c r="D243" i="2"/>
  <c r="C243" i="2"/>
  <c r="D242" i="2"/>
  <c r="C242" i="2"/>
  <c r="H241" i="2"/>
  <c r="I241" i="2" s="1"/>
  <c r="Q241" i="2" s="1"/>
  <c r="D241" i="2"/>
  <c r="C241" i="2"/>
  <c r="H240" i="2"/>
  <c r="F240" i="2"/>
  <c r="D240" i="2"/>
  <c r="C240" i="2"/>
  <c r="D239" i="2"/>
  <c r="C239" i="2"/>
  <c r="G238" i="2"/>
  <c r="D238" i="2"/>
  <c r="C238" i="2"/>
  <c r="D237" i="2"/>
  <c r="C237" i="2"/>
  <c r="D236" i="2"/>
  <c r="C236" i="2"/>
  <c r="D235" i="2"/>
  <c r="C235" i="2"/>
  <c r="D234" i="2"/>
  <c r="C234" i="2"/>
  <c r="H233" i="2"/>
  <c r="I233" i="2" s="1"/>
  <c r="D233" i="2"/>
  <c r="C233" i="2"/>
  <c r="D232" i="2"/>
  <c r="C232" i="2"/>
  <c r="K231" i="2"/>
  <c r="D231" i="2"/>
  <c r="C231" i="2"/>
  <c r="K230" i="2"/>
  <c r="H230" i="2"/>
  <c r="I230" i="2" s="1"/>
  <c r="Q230" i="2" s="1"/>
  <c r="D230" i="2"/>
  <c r="C230" i="2"/>
  <c r="K229" i="2"/>
  <c r="H229" i="2"/>
  <c r="F229" i="2"/>
  <c r="D229" i="2"/>
  <c r="C229" i="2"/>
  <c r="K228" i="2"/>
  <c r="I228" i="2"/>
  <c r="Q228" i="2" s="1"/>
  <c r="H228" i="2"/>
  <c r="D228" i="2"/>
  <c r="C228" i="2"/>
  <c r="H227" i="2"/>
  <c r="I227" i="2" s="1"/>
  <c r="Q227" i="2" s="1"/>
  <c r="E227" i="2"/>
  <c r="D227" i="2"/>
  <c r="C227" i="2"/>
  <c r="D226" i="2"/>
  <c r="C226" i="2"/>
  <c r="D225" i="2"/>
  <c r="C225" i="2"/>
  <c r="F224" i="2"/>
  <c r="D224" i="2"/>
  <c r="C224" i="2"/>
  <c r="K223" i="2"/>
  <c r="D223" i="2"/>
  <c r="C223" i="2"/>
  <c r="E222" i="2"/>
  <c r="D222" i="2"/>
  <c r="C222" i="2"/>
  <c r="K221" i="2"/>
  <c r="H221" i="2"/>
  <c r="I221" i="2" s="1"/>
  <c r="D221" i="2"/>
  <c r="C221" i="2"/>
  <c r="K220" i="2"/>
  <c r="D220" i="2"/>
  <c r="C220" i="2"/>
  <c r="H219" i="2"/>
  <c r="I219" i="2" s="1"/>
  <c r="Q219" i="2" s="1"/>
  <c r="F219" i="2"/>
  <c r="D219" i="2"/>
  <c r="C219" i="2"/>
  <c r="K218" i="2"/>
  <c r="H218" i="2"/>
  <c r="D218" i="2"/>
  <c r="C218" i="2"/>
  <c r="K217" i="2"/>
  <c r="H217" i="2"/>
  <c r="I217" i="2" s="1"/>
  <c r="D217" i="2"/>
  <c r="C217" i="2"/>
  <c r="H216" i="2"/>
  <c r="D216" i="2"/>
  <c r="C216" i="2"/>
  <c r="K215" i="2"/>
  <c r="H215" i="2"/>
  <c r="D215" i="2"/>
  <c r="C215" i="2"/>
  <c r="K214" i="2"/>
  <c r="I214" i="2"/>
  <c r="Q214" i="2" s="1"/>
  <c r="H214" i="2"/>
  <c r="E214" i="2"/>
  <c r="D214" i="2"/>
  <c r="C214" i="2"/>
  <c r="E213" i="2"/>
  <c r="D213" i="2"/>
  <c r="C213" i="2"/>
  <c r="F212" i="2"/>
  <c r="D212" i="2"/>
  <c r="C212" i="2"/>
  <c r="E211" i="2"/>
  <c r="D211" i="2"/>
  <c r="C211" i="2"/>
  <c r="D210" i="2"/>
  <c r="C210" i="2"/>
  <c r="H209" i="2"/>
  <c r="I209" i="2" s="1"/>
  <c r="E209" i="2"/>
  <c r="D209" i="2"/>
  <c r="C209" i="2"/>
  <c r="D208" i="2"/>
  <c r="C208" i="2"/>
  <c r="K207" i="2"/>
  <c r="E207" i="2"/>
  <c r="D207" i="2"/>
  <c r="C207" i="2"/>
  <c r="E206" i="2"/>
  <c r="D206" i="2"/>
  <c r="C206" i="2"/>
  <c r="K205" i="2"/>
  <c r="H205" i="2"/>
  <c r="I205" i="2" s="1"/>
  <c r="E205" i="2"/>
  <c r="D205" i="2"/>
  <c r="C205" i="2"/>
  <c r="H204" i="2"/>
  <c r="I204" i="2" s="1"/>
  <c r="Q204" i="2" s="1"/>
  <c r="E204" i="2"/>
  <c r="D204" i="2"/>
  <c r="C204" i="2"/>
  <c r="H203" i="2"/>
  <c r="I203" i="2" s="1"/>
  <c r="Q203" i="2" s="1"/>
  <c r="E203" i="2"/>
  <c r="D203" i="2"/>
  <c r="C203" i="2"/>
  <c r="I202" i="2"/>
  <c r="Q202" i="2" s="1"/>
  <c r="H202" i="2"/>
  <c r="D202" i="2"/>
  <c r="C202" i="2"/>
  <c r="H201" i="2"/>
  <c r="I201" i="2" s="1"/>
  <c r="E201" i="2"/>
  <c r="D201" i="2"/>
  <c r="C201" i="2"/>
  <c r="E200" i="2"/>
  <c r="D200" i="2"/>
  <c r="C200" i="2"/>
  <c r="E199" i="2"/>
  <c r="D199" i="2"/>
  <c r="C199" i="2"/>
  <c r="E198" i="2"/>
  <c r="D198" i="2"/>
  <c r="C198" i="2"/>
  <c r="H197" i="2"/>
  <c r="E197" i="2"/>
  <c r="D197" i="2"/>
  <c r="C197" i="2"/>
  <c r="K196" i="2"/>
  <c r="H196" i="2"/>
  <c r="E196" i="2"/>
  <c r="D196" i="2"/>
  <c r="C196" i="2"/>
  <c r="K195" i="2"/>
  <c r="H195" i="2"/>
  <c r="E195" i="2"/>
  <c r="D195" i="2"/>
  <c r="C195" i="2"/>
  <c r="K194" i="2"/>
  <c r="I194" i="2"/>
  <c r="Q194" i="2" s="1"/>
  <c r="H194" i="2"/>
  <c r="E194" i="2"/>
  <c r="D194" i="2"/>
  <c r="C194" i="2"/>
  <c r="H193" i="2"/>
  <c r="I193" i="2" s="1"/>
  <c r="E193" i="2"/>
  <c r="D193" i="2"/>
  <c r="C193" i="2"/>
  <c r="H192" i="2"/>
  <c r="E192" i="2"/>
  <c r="D192" i="2"/>
  <c r="C192" i="2"/>
  <c r="I191" i="2"/>
  <c r="Q191" i="2" s="1"/>
  <c r="H191" i="2"/>
  <c r="E191" i="2"/>
  <c r="D191" i="2"/>
  <c r="C191" i="2"/>
  <c r="E190" i="2"/>
  <c r="D190" i="2"/>
  <c r="C190" i="2"/>
  <c r="K189" i="2"/>
  <c r="E189" i="2"/>
  <c r="D189" i="2"/>
  <c r="C189" i="2"/>
  <c r="H188" i="2"/>
  <c r="I188" i="2" s="1"/>
  <c r="Q188" i="2" s="1"/>
  <c r="E188" i="2"/>
  <c r="D188" i="2"/>
  <c r="C188" i="2"/>
  <c r="E187" i="2"/>
  <c r="D187" i="2"/>
  <c r="C187" i="2"/>
  <c r="K186" i="2"/>
  <c r="E186" i="2"/>
  <c r="D186" i="2"/>
  <c r="C186" i="2"/>
  <c r="K185" i="2"/>
  <c r="H185" i="2"/>
  <c r="I185" i="2" s="1"/>
  <c r="Q185" i="2" s="1"/>
  <c r="E185" i="2"/>
  <c r="D185" i="2"/>
  <c r="C185" i="2"/>
  <c r="K184" i="2"/>
  <c r="H184" i="2"/>
  <c r="I184" i="2" s="1"/>
  <c r="Q184" i="2" s="1"/>
  <c r="E184" i="2"/>
  <c r="D184" i="2"/>
  <c r="C184" i="2"/>
  <c r="E183" i="2"/>
  <c r="D183" i="2"/>
  <c r="C183" i="2"/>
  <c r="E182" i="2"/>
  <c r="D182" i="2"/>
  <c r="C182" i="2"/>
  <c r="H181" i="2"/>
  <c r="E181" i="2"/>
  <c r="D181" i="2"/>
  <c r="C181" i="2"/>
  <c r="H180" i="2"/>
  <c r="E180" i="2"/>
  <c r="D180" i="2"/>
  <c r="C180" i="2"/>
  <c r="H179" i="2"/>
  <c r="E179" i="2"/>
  <c r="D179" i="2"/>
  <c r="C179" i="2"/>
  <c r="H178" i="2"/>
  <c r="I178" i="2" s="1"/>
  <c r="Q178" i="2" s="1"/>
  <c r="E178" i="2"/>
  <c r="D178" i="2"/>
  <c r="C178" i="2"/>
  <c r="H177" i="2"/>
  <c r="I177" i="2" s="1"/>
  <c r="Q177" i="2" s="1"/>
  <c r="E177" i="2"/>
  <c r="D177" i="2"/>
  <c r="C177" i="2"/>
  <c r="K176" i="2"/>
  <c r="H176" i="2"/>
  <c r="I176" i="2" s="1"/>
  <c r="Q176" i="2" s="1"/>
  <c r="E176" i="2"/>
  <c r="D176" i="2"/>
  <c r="C176" i="2"/>
  <c r="K175" i="2"/>
  <c r="E175" i="2"/>
  <c r="D175" i="2"/>
  <c r="C175" i="2"/>
  <c r="E174" i="2"/>
  <c r="D174" i="2"/>
  <c r="C174" i="2"/>
  <c r="K173" i="2"/>
  <c r="I173" i="2"/>
  <c r="J173" i="2" s="1"/>
  <c r="H173" i="2"/>
  <c r="E173" i="2"/>
  <c r="D173" i="2"/>
  <c r="C173" i="2"/>
  <c r="H172" i="2"/>
  <c r="I172" i="2" s="1"/>
  <c r="Q172" i="2" s="1"/>
  <c r="E172" i="2"/>
  <c r="D172" i="2"/>
  <c r="C172" i="2"/>
  <c r="K171" i="2"/>
  <c r="E171" i="2"/>
  <c r="D171" i="2"/>
  <c r="C171" i="2"/>
  <c r="E170" i="2"/>
  <c r="D170" i="2"/>
  <c r="C170" i="2"/>
  <c r="H169" i="2"/>
  <c r="I169" i="2" s="1"/>
  <c r="F169" i="2"/>
  <c r="E169" i="2"/>
  <c r="D169" i="2"/>
  <c r="C169" i="2"/>
  <c r="I168" i="2"/>
  <c r="Q168" i="2" s="1"/>
  <c r="H168" i="2"/>
  <c r="E168" i="2"/>
  <c r="D168" i="2"/>
  <c r="C168" i="2"/>
  <c r="H167" i="2"/>
  <c r="I167" i="2" s="1"/>
  <c r="Q167" i="2" s="1"/>
  <c r="E167" i="2"/>
  <c r="D167" i="2"/>
  <c r="C167" i="2"/>
  <c r="K166" i="2"/>
  <c r="H166" i="2"/>
  <c r="E166" i="2"/>
  <c r="D166" i="2"/>
  <c r="C166" i="2"/>
  <c r="K165" i="2"/>
  <c r="H165" i="2"/>
  <c r="G165" i="2"/>
  <c r="E165" i="2"/>
  <c r="D165" i="2"/>
  <c r="C165" i="2"/>
  <c r="K164" i="2"/>
  <c r="G164" i="2"/>
  <c r="E164" i="2"/>
  <c r="D164" i="2"/>
  <c r="C164" i="2"/>
  <c r="K163" i="2"/>
  <c r="H163" i="2"/>
  <c r="I163" i="2" s="1"/>
  <c r="E163" i="2"/>
  <c r="D163" i="2"/>
  <c r="C163" i="2"/>
  <c r="K162" i="2"/>
  <c r="G162" i="2"/>
  <c r="E162" i="2"/>
  <c r="D162" i="2"/>
  <c r="C162" i="2"/>
  <c r="H161" i="2"/>
  <c r="G161" i="2"/>
  <c r="E161" i="2"/>
  <c r="D161" i="2"/>
  <c r="C161" i="2"/>
  <c r="H160" i="2"/>
  <c r="I160" i="2" s="1"/>
  <c r="E160" i="2"/>
  <c r="D160" i="2"/>
  <c r="C160" i="2"/>
  <c r="H159" i="2"/>
  <c r="I159" i="2" s="1"/>
  <c r="E159" i="2"/>
  <c r="D159" i="2"/>
  <c r="C159" i="2"/>
  <c r="H158" i="2"/>
  <c r="I158" i="2" s="1"/>
  <c r="Q158" i="2" s="1"/>
  <c r="E158" i="2"/>
  <c r="D158" i="2"/>
  <c r="C158" i="2"/>
  <c r="K157" i="2"/>
  <c r="H157" i="2"/>
  <c r="G157" i="2"/>
  <c r="E157" i="2"/>
  <c r="D157" i="2"/>
  <c r="C157" i="2"/>
  <c r="K156" i="2"/>
  <c r="H156" i="2"/>
  <c r="I156" i="2" s="1"/>
  <c r="G156" i="2"/>
  <c r="E156" i="2"/>
  <c r="D156" i="2"/>
  <c r="C156" i="2"/>
  <c r="K155" i="2"/>
  <c r="H155" i="2"/>
  <c r="I155" i="2" s="1"/>
  <c r="E155" i="2"/>
  <c r="D155" i="2"/>
  <c r="C155" i="2"/>
  <c r="K154" i="2"/>
  <c r="H154" i="2"/>
  <c r="E154" i="2"/>
  <c r="D154" i="2"/>
  <c r="C154" i="2"/>
  <c r="K153" i="2"/>
  <c r="H153" i="2"/>
  <c r="E153" i="2"/>
  <c r="D153" i="2"/>
  <c r="C153" i="2"/>
  <c r="H152" i="2"/>
  <c r="E152" i="2"/>
  <c r="D152" i="2"/>
  <c r="C152" i="2"/>
  <c r="E151" i="2"/>
  <c r="D151" i="2"/>
  <c r="C151" i="2"/>
  <c r="K150" i="2"/>
  <c r="E150" i="2"/>
  <c r="D150" i="2"/>
  <c r="C150" i="2"/>
  <c r="H149" i="2"/>
  <c r="G149" i="2"/>
  <c r="E149" i="2"/>
  <c r="D149" i="2"/>
  <c r="C149" i="2"/>
  <c r="K148" i="2"/>
  <c r="H148" i="2"/>
  <c r="I148" i="2" s="1"/>
  <c r="J148" i="2" s="1"/>
  <c r="G148" i="2"/>
  <c r="F148" i="2"/>
  <c r="E148" i="2"/>
  <c r="D148" i="2"/>
  <c r="C148" i="2"/>
  <c r="K147" i="2"/>
  <c r="G147" i="2"/>
  <c r="E147" i="2"/>
  <c r="D147" i="2"/>
  <c r="C147" i="2"/>
  <c r="K146" i="2"/>
  <c r="H146" i="2"/>
  <c r="I146" i="2" s="1"/>
  <c r="Q146" i="2" s="1"/>
  <c r="F146" i="2"/>
  <c r="E146" i="2"/>
  <c r="D146" i="2"/>
  <c r="C146" i="2"/>
  <c r="H145" i="2"/>
  <c r="E145" i="2"/>
  <c r="D145" i="2"/>
  <c r="C145" i="2"/>
  <c r="H144" i="2"/>
  <c r="I144" i="2" s="1"/>
  <c r="F144" i="2"/>
  <c r="E144" i="2"/>
  <c r="D144" i="2"/>
  <c r="C144" i="2"/>
  <c r="H143" i="2"/>
  <c r="E143" i="2"/>
  <c r="D143" i="2"/>
  <c r="C143" i="2"/>
  <c r="H142" i="2"/>
  <c r="I142" i="2" s="1"/>
  <c r="Q142" i="2" s="1"/>
  <c r="G142" i="2"/>
  <c r="F142" i="2"/>
  <c r="E142" i="2"/>
  <c r="D142" i="2"/>
  <c r="C142" i="2"/>
  <c r="H141" i="2"/>
  <c r="G141" i="2"/>
  <c r="E141" i="2"/>
  <c r="D141" i="2"/>
  <c r="C141" i="2"/>
  <c r="G140" i="2"/>
  <c r="E140" i="2"/>
  <c r="D140" i="2"/>
  <c r="C140" i="2"/>
  <c r="G139" i="2"/>
  <c r="E139" i="2"/>
  <c r="D139" i="2"/>
  <c r="C139" i="2"/>
  <c r="G138" i="2"/>
  <c r="E138" i="2"/>
  <c r="D138" i="2"/>
  <c r="C138" i="2"/>
  <c r="K137" i="2"/>
  <c r="H137" i="2"/>
  <c r="E137" i="2"/>
  <c r="D137" i="2"/>
  <c r="C137" i="2"/>
  <c r="K136" i="2"/>
  <c r="H136" i="2"/>
  <c r="I136" i="2" s="1"/>
  <c r="E136" i="2"/>
  <c r="D136" i="2"/>
  <c r="C136" i="2"/>
  <c r="K135" i="2"/>
  <c r="E135" i="2"/>
  <c r="D135" i="2"/>
  <c r="C135" i="2"/>
  <c r="H134" i="2"/>
  <c r="F134" i="2"/>
  <c r="E134" i="2"/>
  <c r="D134" i="2"/>
  <c r="C134" i="2"/>
  <c r="H133" i="2"/>
  <c r="E133" i="2"/>
  <c r="D133" i="2"/>
  <c r="C133" i="2"/>
  <c r="K132" i="2"/>
  <c r="H132" i="2"/>
  <c r="I132" i="2" s="1"/>
  <c r="G132" i="2"/>
  <c r="E132" i="2"/>
  <c r="D132" i="2"/>
  <c r="C132" i="2"/>
  <c r="H131" i="2"/>
  <c r="G131" i="2"/>
  <c r="E131" i="2"/>
  <c r="D131" i="2"/>
  <c r="C131" i="2"/>
  <c r="K130" i="2"/>
  <c r="H130" i="2"/>
  <c r="I130" i="2" s="1"/>
  <c r="Q130" i="2" s="1"/>
  <c r="E130" i="2"/>
  <c r="D130" i="2"/>
  <c r="C130" i="2"/>
  <c r="K129" i="2"/>
  <c r="G129" i="2"/>
  <c r="E129" i="2"/>
  <c r="D129" i="2"/>
  <c r="C129" i="2"/>
  <c r="H128" i="2"/>
  <c r="E128" i="2"/>
  <c r="D128" i="2"/>
  <c r="C128" i="2"/>
  <c r="E127" i="2"/>
  <c r="D127" i="2"/>
  <c r="C127" i="2"/>
  <c r="F126" i="2"/>
  <c r="E126" i="2"/>
  <c r="D126" i="2"/>
  <c r="C126" i="2"/>
  <c r="K125" i="2"/>
  <c r="H125" i="2"/>
  <c r="E125" i="2"/>
  <c r="D125" i="2"/>
  <c r="C125" i="2"/>
  <c r="K124" i="2"/>
  <c r="H124" i="2"/>
  <c r="I124" i="2" s="1"/>
  <c r="F124" i="2"/>
  <c r="E124" i="2"/>
  <c r="D124" i="2"/>
  <c r="C124" i="2"/>
  <c r="K123" i="2"/>
  <c r="E123" i="2"/>
  <c r="D123" i="2"/>
  <c r="C123" i="2"/>
  <c r="H122" i="2"/>
  <c r="I122" i="2" s="1"/>
  <c r="Q122" i="2" s="1"/>
  <c r="G122" i="2"/>
  <c r="F122" i="2"/>
  <c r="E122" i="2"/>
  <c r="D122" i="2"/>
  <c r="C122" i="2"/>
  <c r="H121" i="2"/>
  <c r="G121" i="2"/>
  <c r="E121" i="2"/>
  <c r="D121" i="2"/>
  <c r="C121" i="2"/>
  <c r="K120" i="2"/>
  <c r="H120" i="2"/>
  <c r="G120" i="2"/>
  <c r="E120" i="2"/>
  <c r="D120" i="2"/>
  <c r="C120" i="2"/>
  <c r="I119" i="2"/>
  <c r="Q119" i="2" s="1"/>
  <c r="H119" i="2"/>
  <c r="E119" i="2"/>
  <c r="D119" i="2"/>
  <c r="C119" i="2"/>
  <c r="K118" i="2"/>
  <c r="H118" i="2"/>
  <c r="I118" i="2" s="1"/>
  <c r="Q118" i="2" s="1"/>
  <c r="E118" i="2"/>
  <c r="D118" i="2"/>
  <c r="C118" i="2"/>
  <c r="K117" i="2"/>
  <c r="H117" i="2"/>
  <c r="G117" i="2"/>
  <c r="E117" i="2"/>
  <c r="D117" i="2"/>
  <c r="C117" i="2"/>
  <c r="H116" i="2"/>
  <c r="I116" i="2" s="1"/>
  <c r="G116" i="2"/>
  <c r="E116" i="2"/>
  <c r="D116" i="2"/>
  <c r="C116" i="2"/>
  <c r="K115" i="2"/>
  <c r="G115" i="2"/>
  <c r="F115" i="2"/>
  <c r="E115" i="2"/>
  <c r="D115" i="2"/>
  <c r="C115" i="2"/>
  <c r="G114" i="2"/>
  <c r="E114" i="2"/>
  <c r="D114" i="2"/>
  <c r="C114" i="2"/>
  <c r="H113" i="2"/>
  <c r="G113" i="2"/>
  <c r="F113" i="2"/>
  <c r="E113" i="2"/>
  <c r="D113" i="2"/>
  <c r="C113" i="2"/>
  <c r="H112" i="2"/>
  <c r="I112" i="2" s="1"/>
  <c r="E112" i="2"/>
  <c r="D112" i="2"/>
  <c r="C112" i="2"/>
  <c r="F111" i="2"/>
  <c r="E111" i="2"/>
  <c r="D111" i="2"/>
  <c r="C111" i="2"/>
  <c r="E110" i="2"/>
  <c r="D110" i="2"/>
  <c r="C110" i="2"/>
  <c r="K109" i="2"/>
  <c r="H109" i="2"/>
  <c r="I109" i="2" s="1"/>
  <c r="Q109" i="2" s="1"/>
  <c r="E109" i="2"/>
  <c r="D109" i="2"/>
  <c r="C109" i="2"/>
  <c r="H108" i="2"/>
  <c r="E108" i="2"/>
  <c r="D108" i="2"/>
  <c r="C108" i="2"/>
  <c r="I107" i="2"/>
  <c r="H107" i="2"/>
  <c r="G107" i="2"/>
  <c r="F107" i="2"/>
  <c r="E107" i="2"/>
  <c r="D107" i="2"/>
  <c r="C107" i="2"/>
  <c r="K106" i="2"/>
  <c r="I106" i="2"/>
  <c r="Q106" i="2" s="1"/>
  <c r="H106" i="2"/>
  <c r="E106" i="2"/>
  <c r="D106" i="2"/>
  <c r="C106" i="2"/>
  <c r="K105" i="2"/>
  <c r="H105" i="2"/>
  <c r="I105" i="2" s="1"/>
  <c r="Q105" i="2" s="1"/>
  <c r="E105" i="2"/>
  <c r="D105" i="2"/>
  <c r="C105" i="2"/>
  <c r="H104" i="2"/>
  <c r="I104" i="2" s="1"/>
  <c r="E104" i="2"/>
  <c r="D104" i="2"/>
  <c r="C104" i="2"/>
  <c r="F103" i="2"/>
  <c r="E103" i="2"/>
  <c r="D103" i="2"/>
  <c r="C103" i="2"/>
  <c r="E102" i="2"/>
  <c r="D102" i="2"/>
  <c r="C102" i="2"/>
  <c r="K101" i="2"/>
  <c r="H101" i="2"/>
  <c r="I101" i="2" s="1"/>
  <c r="Q101" i="2" s="1"/>
  <c r="G101" i="2"/>
  <c r="F101" i="2"/>
  <c r="E101" i="2"/>
  <c r="D101" i="2"/>
  <c r="C101" i="2"/>
  <c r="H100" i="2"/>
  <c r="I100" i="2" s="1"/>
  <c r="J100" i="2" s="1"/>
  <c r="G100" i="2"/>
  <c r="E100" i="2"/>
  <c r="D100" i="2"/>
  <c r="C100" i="2"/>
  <c r="H99" i="2"/>
  <c r="G99" i="2"/>
  <c r="E99" i="2"/>
  <c r="D99" i="2"/>
  <c r="C99" i="2"/>
  <c r="H98" i="2"/>
  <c r="I98" i="2" s="1"/>
  <c r="Q98" i="2" s="1"/>
  <c r="E98" i="2"/>
  <c r="D98" i="2"/>
  <c r="C98" i="2"/>
  <c r="K97" i="2"/>
  <c r="H97" i="2"/>
  <c r="E97" i="2"/>
  <c r="D97" i="2"/>
  <c r="C97" i="2"/>
  <c r="K96" i="2"/>
  <c r="H96" i="2"/>
  <c r="E96" i="2"/>
  <c r="D96" i="2"/>
  <c r="C96" i="2"/>
  <c r="H95" i="2"/>
  <c r="G95" i="2"/>
  <c r="E95" i="2"/>
  <c r="D95" i="2"/>
  <c r="C95" i="2"/>
  <c r="K94" i="2"/>
  <c r="H94" i="2"/>
  <c r="G94" i="2"/>
  <c r="E94" i="2"/>
  <c r="D94" i="2"/>
  <c r="C94" i="2"/>
  <c r="I93" i="2"/>
  <c r="Q93" i="2" s="1"/>
  <c r="H93" i="2"/>
  <c r="E93" i="2"/>
  <c r="D93" i="2"/>
  <c r="C93" i="2"/>
  <c r="K92" i="2"/>
  <c r="E92" i="2"/>
  <c r="D92" i="2"/>
  <c r="C92" i="2"/>
  <c r="E91" i="2"/>
  <c r="D91" i="2"/>
  <c r="C91" i="2"/>
  <c r="K90" i="2"/>
  <c r="E90" i="2"/>
  <c r="D90" i="2"/>
  <c r="C90" i="2"/>
  <c r="K89" i="2"/>
  <c r="H89" i="2"/>
  <c r="E89" i="2"/>
  <c r="D89" i="2"/>
  <c r="C89" i="2"/>
  <c r="K88" i="2"/>
  <c r="H88" i="2"/>
  <c r="E88" i="2"/>
  <c r="D88" i="2"/>
  <c r="C88" i="2"/>
  <c r="H87" i="2"/>
  <c r="G87" i="2"/>
  <c r="E87" i="2"/>
  <c r="D87" i="2"/>
  <c r="C87" i="2"/>
  <c r="H86" i="2"/>
  <c r="G86" i="2"/>
  <c r="E86" i="2"/>
  <c r="D86" i="2"/>
  <c r="C86" i="2"/>
  <c r="I85" i="2"/>
  <c r="Q85" i="2" s="1"/>
  <c r="H85" i="2"/>
  <c r="E85" i="2"/>
  <c r="D85" i="2"/>
  <c r="C85" i="2"/>
  <c r="H84" i="2"/>
  <c r="F84" i="2"/>
  <c r="E84" i="2"/>
  <c r="D84" i="2"/>
  <c r="C84" i="2"/>
  <c r="H83" i="2"/>
  <c r="E83" i="2"/>
  <c r="D83" i="2"/>
  <c r="C83" i="2"/>
  <c r="H82" i="2"/>
  <c r="G82" i="2"/>
  <c r="F82" i="2"/>
  <c r="E82" i="2"/>
  <c r="D82" i="2"/>
  <c r="C82" i="2"/>
  <c r="H81" i="2"/>
  <c r="G81" i="2"/>
  <c r="E81" i="2"/>
  <c r="D81" i="2"/>
  <c r="C81" i="2"/>
  <c r="G80" i="2"/>
  <c r="E80" i="2"/>
  <c r="D80" i="2"/>
  <c r="C80" i="2"/>
  <c r="G79" i="2"/>
  <c r="E79" i="2"/>
  <c r="D79" i="2"/>
  <c r="C79" i="2"/>
  <c r="G78" i="2"/>
  <c r="E78" i="2"/>
  <c r="D78" i="2"/>
  <c r="C78" i="2"/>
  <c r="K77" i="2"/>
  <c r="H77" i="2"/>
  <c r="E77" i="2"/>
  <c r="D77" i="2"/>
  <c r="C77" i="2"/>
  <c r="K76" i="2"/>
  <c r="H76" i="2"/>
  <c r="I76" i="2" s="1"/>
  <c r="Q76" i="2" s="1"/>
  <c r="E76" i="2"/>
  <c r="D76" i="2"/>
  <c r="C76" i="2"/>
  <c r="K75" i="2"/>
  <c r="H75" i="2"/>
  <c r="E75" i="2"/>
  <c r="D75" i="2"/>
  <c r="C75" i="2"/>
  <c r="H74" i="2"/>
  <c r="E74" i="2"/>
  <c r="D74" i="2"/>
  <c r="C74" i="2"/>
  <c r="H73" i="2"/>
  <c r="G73" i="2"/>
  <c r="E73" i="2"/>
  <c r="D73" i="2"/>
  <c r="C73" i="2"/>
  <c r="I72" i="2"/>
  <c r="Q72" i="2" s="1"/>
  <c r="H72" i="2"/>
  <c r="E72" i="2"/>
  <c r="D72" i="2"/>
  <c r="C72" i="2"/>
  <c r="H71" i="2"/>
  <c r="E71" i="2"/>
  <c r="D71" i="2"/>
  <c r="C71" i="2"/>
  <c r="K70" i="2"/>
  <c r="H70" i="2"/>
  <c r="E70" i="2"/>
  <c r="D70" i="2"/>
  <c r="C70" i="2"/>
  <c r="K69" i="2"/>
  <c r="E69" i="2"/>
  <c r="D69" i="2"/>
  <c r="C69" i="2"/>
  <c r="K68" i="2"/>
  <c r="E68" i="2"/>
  <c r="D68" i="2"/>
  <c r="C68" i="2"/>
  <c r="E67" i="2"/>
  <c r="D67" i="2"/>
  <c r="C67" i="2"/>
  <c r="K66" i="2"/>
  <c r="F66" i="2"/>
  <c r="E66" i="2"/>
  <c r="D66" i="2"/>
  <c r="C66" i="2"/>
  <c r="H65" i="2"/>
  <c r="E65" i="2"/>
  <c r="D65" i="2"/>
  <c r="C65" i="2"/>
  <c r="H64" i="2"/>
  <c r="I64" i="2" s="1"/>
  <c r="Q64" i="2" s="1"/>
  <c r="G64" i="2"/>
  <c r="F64" i="2"/>
  <c r="E64" i="2"/>
  <c r="D64" i="2"/>
  <c r="C64" i="2"/>
  <c r="H63" i="2"/>
  <c r="G63" i="2"/>
  <c r="E63" i="2"/>
  <c r="D63" i="2"/>
  <c r="C63" i="2"/>
  <c r="K62" i="2"/>
  <c r="H62" i="2"/>
  <c r="G62" i="2"/>
  <c r="E62" i="2"/>
  <c r="D62" i="2"/>
  <c r="C62" i="2"/>
  <c r="I61" i="2"/>
  <c r="Q61" i="2" s="1"/>
  <c r="H61" i="2"/>
  <c r="E61" i="2"/>
  <c r="D61" i="2"/>
  <c r="C61" i="2"/>
  <c r="K60" i="2"/>
  <c r="H60" i="2"/>
  <c r="E60" i="2"/>
  <c r="D60" i="2"/>
  <c r="C60" i="2"/>
  <c r="K59" i="2"/>
  <c r="H59" i="2"/>
  <c r="G59" i="2"/>
  <c r="E59" i="2"/>
  <c r="D59" i="2"/>
  <c r="C59" i="2"/>
  <c r="H58" i="2"/>
  <c r="G58" i="2"/>
  <c r="E58" i="2"/>
  <c r="D58" i="2"/>
  <c r="C58" i="2"/>
  <c r="K57" i="2"/>
  <c r="H57" i="2"/>
  <c r="I57" i="2" s="1"/>
  <c r="Q57" i="2" s="1"/>
  <c r="G57" i="2"/>
  <c r="F57" i="2"/>
  <c r="E57" i="2"/>
  <c r="D57" i="2"/>
  <c r="C57" i="2"/>
  <c r="K56" i="2"/>
  <c r="H56" i="2"/>
  <c r="I56" i="2" s="1"/>
  <c r="Q56" i="2" s="1"/>
  <c r="E56" i="2"/>
  <c r="D56" i="2"/>
  <c r="C56" i="2"/>
  <c r="K55" i="2"/>
  <c r="F55" i="2"/>
  <c r="E55" i="2"/>
  <c r="D55" i="2"/>
  <c r="C55" i="2"/>
  <c r="E54" i="2"/>
  <c r="D54" i="2"/>
  <c r="C54" i="2"/>
  <c r="H53" i="2"/>
  <c r="I53" i="2" s="1"/>
  <c r="Q53" i="2" s="1"/>
  <c r="E53" i="2"/>
  <c r="D53" i="2"/>
  <c r="C53" i="2"/>
  <c r="K52" i="2"/>
  <c r="H52" i="2"/>
  <c r="I52" i="2" s="1"/>
  <c r="Q52" i="2" s="1"/>
  <c r="E52" i="2"/>
  <c r="D52" i="2"/>
  <c r="C52" i="2"/>
  <c r="K51" i="2"/>
  <c r="H51" i="2"/>
  <c r="G51" i="2"/>
  <c r="F51" i="2"/>
  <c r="E51" i="2"/>
  <c r="D51" i="2"/>
  <c r="C51" i="2"/>
  <c r="K50" i="2"/>
  <c r="H50" i="2"/>
  <c r="I50" i="2" s="1"/>
  <c r="Q50" i="2" s="1"/>
  <c r="G50" i="2"/>
  <c r="E50" i="2"/>
  <c r="D50" i="2"/>
  <c r="C50" i="2"/>
  <c r="K49" i="2"/>
  <c r="H49" i="2"/>
  <c r="F49" i="2"/>
  <c r="E49" i="2"/>
  <c r="D49" i="2"/>
  <c r="C49" i="2"/>
  <c r="K48" i="2"/>
  <c r="H48" i="2"/>
  <c r="I48" i="2" s="1"/>
  <c r="Q48" i="2" s="1"/>
  <c r="E48" i="2"/>
  <c r="D48" i="2"/>
  <c r="C48" i="2"/>
  <c r="K47" i="2"/>
  <c r="H47" i="2"/>
  <c r="F47" i="2"/>
  <c r="E47" i="2"/>
  <c r="D47" i="2"/>
  <c r="C47" i="2"/>
  <c r="I46" i="2"/>
  <c r="Q46" i="2" s="1"/>
  <c r="H46" i="2"/>
  <c r="G46" i="2"/>
  <c r="E46" i="2"/>
  <c r="D46" i="2"/>
  <c r="C46" i="2"/>
  <c r="K45" i="2"/>
  <c r="H45" i="2"/>
  <c r="I45" i="2" s="1"/>
  <c r="Q45" i="2" s="1"/>
  <c r="G45" i="2"/>
  <c r="E45" i="2"/>
  <c r="D45" i="2"/>
  <c r="C45" i="2"/>
  <c r="K44" i="2"/>
  <c r="I44" i="2"/>
  <c r="Q44" i="2" s="1"/>
  <c r="H44" i="2"/>
  <c r="E44" i="2"/>
  <c r="D44" i="2"/>
  <c r="C44" i="2"/>
  <c r="K43" i="2"/>
  <c r="E43" i="2"/>
  <c r="D43" i="2"/>
  <c r="C43" i="2"/>
  <c r="K42" i="2"/>
  <c r="E42" i="2"/>
  <c r="D42" i="2"/>
  <c r="C42" i="2"/>
  <c r="I41" i="2"/>
  <c r="H41" i="2"/>
  <c r="E41" i="2"/>
  <c r="D41" i="2"/>
  <c r="C41" i="2"/>
  <c r="H40" i="2"/>
  <c r="G40" i="2"/>
  <c r="E40" i="2"/>
  <c r="D40" i="2"/>
  <c r="C40" i="2"/>
  <c r="H39" i="2"/>
  <c r="G39" i="2"/>
  <c r="E39" i="2"/>
  <c r="D39" i="2"/>
  <c r="C39" i="2"/>
  <c r="I38" i="2"/>
  <c r="Q38" i="2" s="1"/>
  <c r="H38" i="2"/>
  <c r="F38" i="2"/>
  <c r="E38" i="2"/>
  <c r="D38" i="2"/>
  <c r="C38" i="2"/>
  <c r="H37" i="2"/>
  <c r="I37" i="2" s="1"/>
  <c r="Q37" i="2" s="1"/>
  <c r="E37" i="2"/>
  <c r="D37" i="2"/>
  <c r="C37" i="2"/>
  <c r="I36" i="2"/>
  <c r="Q36" i="2" s="1"/>
  <c r="H36" i="2"/>
  <c r="G36" i="2"/>
  <c r="E36" i="2"/>
  <c r="D36" i="2"/>
  <c r="C36" i="2"/>
  <c r="H35" i="2"/>
  <c r="G35" i="2"/>
  <c r="E35" i="2"/>
  <c r="D35" i="2"/>
  <c r="C35" i="2"/>
  <c r="H34" i="2"/>
  <c r="E34" i="2"/>
  <c r="D34" i="2"/>
  <c r="C34" i="2"/>
  <c r="H33" i="2"/>
  <c r="E33" i="2"/>
  <c r="D33" i="2"/>
  <c r="C33" i="2"/>
  <c r="H32" i="2"/>
  <c r="I32" i="2" s="1"/>
  <c r="Q32" i="2" s="1"/>
  <c r="E32" i="2"/>
  <c r="D32" i="2"/>
  <c r="C32" i="2"/>
  <c r="K31" i="2"/>
  <c r="E31" i="2"/>
  <c r="D31" i="2"/>
  <c r="C31" i="2"/>
  <c r="E30" i="2"/>
  <c r="D30" i="2"/>
  <c r="C30" i="2"/>
  <c r="H29" i="2"/>
  <c r="I29" i="2" s="1"/>
  <c r="Q29" i="2" s="1"/>
  <c r="E29" i="2"/>
  <c r="D29" i="2"/>
  <c r="C29" i="2"/>
  <c r="K28" i="2"/>
  <c r="H28" i="2"/>
  <c r="I28" i="2" s="1"/>
  <c r="Q28" i="2" s="1"/>
  <c r="G28" i="2"/>
  <c r="E28" i="2"/>
  <c r="D28" i="2"/>
  <c r="C28" i="2"/>
  <c r="H27" i="2"/>
  <c r="G27" i="2"/>
  <c r="E27" i="2"/>
  <c r="D27" i="2"/>
  <c r="C27" i="2"/>
  <c r="K26" i="2"/>
  <c r="H26" i="2"/>
  <c r="I26" i="2" s="1"/>
  <c r="Q26" i="2" s="1"/>
  <c r="G26" i="2"/>
  <c r="E26" i="2"/>
  <c r="D26" i="2"/>
  <c r="C26" i="2"/>
  <c r="H25" i="2"/>
  <c r="E25" i="2"/>
  <c r="D25" i="2"/>
  <c r="C25" i="2"/>
  <c r="K24" i="2"/>
  <c r="H24" i="2"/>
  <c r="I24" i="2" s="1"/>
  <c r="E24" i="2"/>
  <c r="D24" i="2"/>
  <c r="C24" i="2"/>
  <c r="K23" i="2"/>
  <c r="H23" i="2"/>
  <c r="E23" i="2"/>
  <c r="D23" i="2"/>
  <c r="C23" i="2"/>
  <c r="K22" i="2"/>
  <c r="I22" i="2"/>
  <c r="H22" i="2"/>
  <c r="G22" i="2"/>
  <c r="E22" i="2"/>
  <c r="D22" i="2"/>
  <c r="C22" i="2"/>
  <c r="K21" i="2"/>
  <c r="H21" i="2"/>
  <c r="I21" i="2" s="1"/>
  <c r="G21" i="2"/>
  <c r="E21" i="2"/>
  <c r="D21" i="2"/>
  <c r="C21" i="2"/>
  <c r="H20" i="2"/>
  <c r="I20" i="2" s="1"/>
  <c r="E20" i="2"/>
  <c r="D20" i="2"/>
  <c r="C20" i="2"/>
  <c r="F19" i="2"/>
  <c r="E19" i="2"/>
  <c r="D19" i="2"/>
  <c r="C19" i="2"/>
  <c r="E18" i="2"/>
  <c r="D18" i="2"/>
  <c r="C18" i="2"/>
  <c r="K17" i="2"/>
  <c r="H17" i="2"/>
  <c r="F17" i="2"/>
  <c r="E17" i="2"/>
  <c r="D17" i="2"/>
  <c r="C17" i="2"/>
  <c r="H16" i="2"/>
  <c r="I16" i="2" s="1"/>
  <c r="J16" i="2" s="1"/>
  <c r="E16" i="2"/>
  <c r="D16" i="2"/>
  <c r="C16" i="2"/>
  <c r="K15" i="2"/>
  <c r="H15" i="2"/>
  <c r="I15" i="2" s="1"/>
  <c r="G15" i="2"/>
  <c r="F15" i="2"/>
  <c r="E15" i="2"/>
  <c r="D15" i="2"/>
  <c r="C15" i="2"/>
  <c r="I14" i="2"/>
  <c r="J14" i="2" s="1"/>
  <c r="H14" i="2"/>
  <c r="G14" i="2"/>
  <c r="E14" i="2"/>
  <c r="D14" i="2"/>
  <c r="C14" i="2"/>
  <c r="H13" i="2"/>
  <c r="I13" i="2" s="1"/>
  <c r="J13" i="2" s="1"/>
  <c r="E13" i="2"/>
  <c r="D13" i="2"/>
  <c r="C13" i="2"/>
  <c r="H12" i="2"/>
  <c r="I12" i="2" s="1"/>
  <c r="E12" i="2"/>
  <c r="D12" i="2"/>
  <c r="C12" i="2"/>
  <c r="K11" i="2"/>
  <c r="H11" i="2"/>
  <c r="E11" i="2"/>
  <c r="D11" i="2"/>
  <c r="C11" i="2"/>
  <c r="K10" i="2"/>
  <c r="I10" i="2"/>
  <c r="H10" i="2"/>
  <c r="G10" i="2"/>
  <c r="E10" i="2"/>
  <c r="D10" i="2"/>
  <c r="C10" i="2"/>
  <c r="K9" i="2"/>
  <c r="H9" i="2"/>
  <c r="I9" i="2" s="1"/>
  <c r="G9" i="2"/>
  <c r="E9" i="2"/>
  <c r="D9" i="2"/>
  <c r="C9" i="2"/>
  <c r="K8" i="2"/>
  <c r="I8" i="2"/>
  <c r="H8" i="2"/>
  <c r="F8" i="2"/>
  <c r="E8" i="2"/>
  <c r="D8" i="2"/>
  <c r="C8" i="2"/>
  <c r="K7" i="2"/>
  <c r="E7" i="2"/>
  <c r="D7" i="2"/>
  <c r="C7" i="2"/>
  <c r="K6" i="2"/>
  <c r="E6" i="2"/>
  <c r="D6" i="2"/>
  <c r="C6" i="2"/>
  <c r="R5" i="2"/>
  <c r="Q5" i="2"/>
  <c r="O5" i="2"/>
  <c r="N5" i="2"/>
  <c r="M5" i="2"/>
  <c r="K13" i="2" l="1"/>
  <c r="K33" i="2"/>
  <c r="K39" i="2"/>
  <c r="K41" i="2"/>
  <c r="K67" i="2"/>
  <c r="K72" i="2"/>
  <c r="K79" i="2"/>
  <c r="K99" i="2"/>
  <c r="K110" i="2"/>
  <c r="K134" i="2"/>
  <c r="K139" i="2"/>
  <c r="K159" i="2"/>
  <c r="K168" i="2"/>
  <c r="K178" i="2"/>
  <c r="K191" i="2"/>
  <c r="K201" i="2"/>
  <c r="K206" i="2"/>
  <c r="K209" i="2"/>
  <c r="K224" i="2"/>
  <c r="K244" i="2"/>
  <c r="K234" i="2"/>
  <c r="K20" i="2"/>
  <c r="K46" i="2"/>
  <c r="K61" i="2"/>
  <c r="K63" i="2"/>
  <c r="K65" i="2"/>
  <c r="K93" i="2"/>
  <c r="K95" i="2"/>
  <c r="K104" i="2"/>
  <c r="K108" i="2"/>
  <c r="K119" i="2"/>
  <c r="K121" i="2"/>
  <c r="K128" i="2"/>
  <c r="K181" i="2"/>
  <c r="K199" i="2"/>
  <c r="K204" i="2"/>
  <c r="K210" i="2"/>
  <c r="K213" i="2"/>
  <c r="K225" i="2"/>
  <c r="K238" i="2"/>
  <c r="K241" i="2"/>
  <c r="K18" i="2"/>
  <c r="K34" i="2"/>
  <c r="K80" i="2"/>
  <c r="K84" i="2"/>
  <c r="K86" i="2"/>
  <c r="K91" i="2"/>
  <c r="K102" i="2"/>
  <c r="K111" i="2"/>
  <c r="K113" i="2"/>
  <c r="K140" i="2"/>
  <c r="K144" i="2"/>
  <c r="K160" i="2"/>
  <c r="K174" i="2"/>
  <c r="K179" i="2"/>
  <c r="K187" i="2"/>
  <c r="K192" i="2"/>
  <c r="K202" i="2"/>
  <c r="K216" i="2"/>
  <c r="K222" i="2"/>
  <c r="K235" i="2"/>
  <c r="K29" i="2"/>
  <c r="K36" i="2"/>
  <c r="K38" i="2"/>
  <c r="K40" i="2"/>
  <c r="K71" i="2"/>
  <c r="K73" i="2"/>
  <c r="K82" i="2"/>
  <c r="K98" i="2"/>
  <c r="K100" i="2"/>
  <c r="K126" i="2"/>
  <c r="K133" i="2"/>
  <c r="K142" i="2"/>
  <c r="K151" i="2"/>
  <c r="K167" i="2"/>
  <c r="K169" i="2"/>
  <c r="K190" i="2"/>
  <c r="K219" i="2"/>
  <c r="K226" i="2"/>
  <c r="K239" i="2"/>
  <c r="K242" i="2"/>
  <c r="K12" i="2"/>
  <c r="K14" i="2"/>
  <c r="K16" i="2"/>
  <c r="K246" i="2" s="1"/>
  <c r="K25" i="2"/>
  <c r="K27" i="2"/>
  <c r="K32" i="2"/>
  <c r="K53" i="2"/>
  <c r="K78" i="2"/>
  <c r="K131" i="2"/>
  <c r="K138" i="2"/>
  <c r="K158" i="2"/>
  <c r="K172" i="2"/>
  <c r="K177" i="2"/>
  <c r="K182" i="2"/>
  <c r="K197" i="2"/>
  <c r="K200" i="2"/>
  <c r="K208" i="2"/>
  <c r="K211" i="2"/>
  <c r="K232" i="2"/>
  <c r="K236" i="2"/>
  <c r="K19" i="2"/>
  <c r="K30" i="2"/>
  <c r="K58" i="2"/>
  <c r="K64" i="2"/>
  <c r="K103" i="2"/>
  <c r="K107" i="2"/>
  <c r="K112" i="2"/>
  <c r="K114" i="2"/>
  <c r="K116" i="2"/>
  <c r="K122" i="2"/>
  <c r="K127" i="2"/>
  <c r="K145" i="2"/>
  <c r="K149" i="2"/>
  <c r="K170" i="2"/>
  <c r="K180" i="2"/>
  <c r="K188" i="2"/>
  <c r="K193" i="2"/>
  <c r="K203" i="2"/>
  <c r="C40" i="1"/>
  <c r="K35" i="2"/>
  <c r="K37" i="2"/>
  <c r="K54" i="2"/>
  <c r="K74" i="2"/>
  <c r="K81" i="2"/>
  <c r="K83" i="2"/>
  <c r="K85" i="2"/>
  <c r="K87" i="2"/>
  <c r="K141" i="2"/>
  <c r="K143" i="2"/>
  <c r="K152" i="2"/>
  <c r="K161" i="2"/>
  <c r="K183" i="2"/>
  <c r="K198" i="2"/>
  <c r="K212" i="2"/>
  <c r="K227" i="2"/>
  <c r="K233" i="2"/>
  <c r="K237" i="2"/>
  <c r="K240" i="2"/>
  <c r="C33" i="1"/>
  <c r="E243" i="2"/>
  <c r="L243" i="2" s="1"/>
  <c r="F156" i="2"/>
  <c r="F227" i="2"/>
  <c r="L227" i="2" s="1"/>
  <c r="F21" i="2"/>
  <c r="L21" i="2" s="1"/>
  <c r="M21" i="2" s="1"/>
  <c r="F30" i="2"/>
  <c r="F68" i="2"/>
  <c r="F74" i="2"/>
  <c r="F76" i="2"/>
  <c r="F78" i="2"/>
  <c r="F80" i="2"/>
  <c r="F105" i="2"/>
  <c r="F132" i="2"/>
  <c r="F136" i="2"/>
  <c r="F138" i="2"/>
  <c r="F140" i="2"/>
  <c r="F167" i="2"/>
  <c r="F171" i="2"/>
  <c r="F188" i="2"/>
  <c r="F196" i="2"/>
  <c r="F198" i="2"/>
  <c r="F234" i="2"/>
  <c r="F237" i="2"/>
  <c r="F6" i="2"/>
  <c r="F10" i="2"/>
  <c r="F23" i="2"/>
  <c r="F25" i="2"/>
  <c r="F40" i="2"/>
  <c r="F44" i="2"/>
  <c r="F53" i="2"/>
  <c r="F59" i="2"/>
  <c r="F86" i="2"/>
  <c r="F92" i="2"/>
  <c r="F94" i="2"/>
  <c r="F109" i="2"/>
  <c r="F117" i="2"/>
  <c r="F201" i="2"/>
  <c r="F203" i="2"/>
  <c r="F205" i="2"/>
  <c r="F217" i="2"/>
  <c r="F232" i="2"/>
  <c r="F243" i="2"/>
  <c r="C32" i="1"/>
  <c r="F27" i="2"/>
  <c r="F33" i="2"/>
  <c r="F35" i="2"/>
  <c r="F61" i="2"/>
  <c r="F71" i="2"/>
  <c r="F119" i="2"/>
  <c r="F150" i="2"/>
  <c r="F158" i="2"/>
  <c r="F160" i="2"/>
  <c r="F176" i="2"/>
  <c r="F178" i="2"/>
  <c r="F180" i="2"/>
  <c r="F182" i="2"/>
  <c r="F191" i="2"/>
  <c r="F210" i="2"/>
  <c r="F222" i="2"/>
  <c r="F235" i="2"/>
  <c r="F238" i="2"/>
  <c r="C22" i="3"/>
  <c r="C34" i="1" s="1"/>
  <c r="F12" i="2"/>
  <c r="F14" i="2"/>
  <c r="F31" i="2"/>
  <c r="F42" i="2"/>
  <c r="F46" i="2"/>
  <c r="F69" i="2"/>
  <c r="F73" i="2"/>
  <c r="F88" i="2"/>
  <c r="F90" i="2"/>
  <c r="F96" i="2"/>
  <c r="F98" i="2"/>
  <c r="F129" i="2"/>
  <c r="F131" i="2"/>
  <c r="F162" i="2"/>
  <c r="F164" i="2"/>
  <c r="F172" i="2"/>
  <c r="F193" i="2"/>
  <c r="F199" i="2"/>
  <c r="F215" i="2"/>
  <c r="F225" i="2"/>
  <c r="F20" i="2"/>
  <c r="F29" i="2"/>
  <c r="F63" i="2"/>
  <c r="F75" i="2"/>
  <c r="F77" i="2"/>
  <c r="F79" i="2"/>
  <c r="F81" i="2"/>
  <c r="F100" i="2"/>
  <c r="F104" i="2"/>
  <c r="F106" i="2"/>
  <c r="F121" i="2"/>
  <c r="F127" i="2"/>
  <c r="F137" i="2"/>
  <c r="F139" i="2"/>
  <c r="F141" i="2"/>
  <c r="F166" i="2"/>
  <c r="F168" i="2"/>
  <c r="F174" i="2"/>
  <c r="F189" i="2"/>
  <c r="F195" i="2"/>
  <c r="F197" i="2"/>
  <c r="F208" i="2"/>
  <c r="F213" i="2"/>
  <c r="F220" i="2"/>
  <c r="F230" i="2"/>
  <c r="F241" i="2"/>
  <c r="F154" i="2"/>
  <c r="F22" i="2"/>
  <c r="F246" i="2" s="1"/>
  <c r="F37" i="2"/>
  <c r="F48" i="2"/>
  <c r="F50" i="2"/>
  <c r="F56" i="2"/>
  <c r="F67" i="2"/>
  <c r="F112" i="2"/>
  <c r="F125" i="2"/>
  <c r="F133" i="2"/>
  <c r="F135" i="2"/>
  <c r="F170" i="2"/>
  <c r="F187" i="2"/>
  <c r="F228" i="2"/>
  <c r="F233" i="2"/>
  <c r="F244" i="2"/>
  <c r="F152" i="2"/>
  <c r="F184" i="2"/>
  <c r="F7" i="2"/>
  <c r="F9" i="2"/>
  <c r="F16" i="2"/>
  <c r="F18" i="2"/>
  <c r="F39" i="2"/>
  <c r="F58" i="2"/>
  <c r="F65" i="2"/>
  <c r="F83" i="2"/>
  <c r="F85" i="2"/>
  <c r="F93" i="2"/>
  <c r="F102" i="2"/>
  <c r="F114" i="2"/>
  <c r="F116" i="2"/>
  <c r="F123" i="2"/>
  <c r="F143" i="2"/>
  <c r="F145" i="2"/>
  <c r="F147" i="2"/>
  <c r="F153" i="2"/>
  <c r="F155" i="2"/>
  <c r="F185" i="2"/>
  <c r="F202" i="2"/>
  <c r="F218" i="2"/>
  <c r="F223" i="2"/>
  <c r="F236" i="2"/>
  <c r="F207" i="2"/>
  <c r="F24" i="2"/>
  <c r="F26" i="2"/>
  <c r="F52" i="2"/>
  <c r="F54" i="2"/>
  <c r="F108" i="2"/>
  <c r="F110" i="2"/>
  <c r="F149" i="2"/>
  <c r="F151" i="2"/>
  <c r="F157" i="2"/>
  <c r="F183" i="2"/>
  <c r="F204" i="2"/>
  <c r="F206" i="2"/>
  <c r="F211" i="2"/>
  <c r="F226" i="2"/>
  <c r="F239" i="2"/>
  <c r="F186" i="2"/>
  <c r="F32" i="2"/>
  <c r="F34" i="2"/>
  <c r="F41" i="2"/>
  <c r="F43" i="2"/>
  <c r="F45" i="2"/>
  <c r="F60" i="2"/>
  <c r="F70" i="2"/>
  <c r="F72" i="2"/>
  <c r="F87" i="2"/>
  <c r="F91" i="2"/>
  <c r="F95" i="2"/>
  <c r="F118" i="2"/>
  <c r="F159" i="2"/>
  <c r="F161" i="2"/>
  <c r="F177" i="2"/>
  <c r="F179" i="2"/>
  <c r="F181" i="2"/>
  <c r="F200" i="2"/>
  <c r="F216" i="2"/>
  <c r="F221" i="2"/>
  <c r="F11" i="2"/>
  <c r="F13" i="2"/>
  <c r="F28" i="2"/>
  <c r="F36" i="2"/>
  <c r="F62" i="2"/>
  <c r="F89" i="2"/>
  <c r="F97" i="2"/>
  <c r="F99" i="2"/>
  <c r="F120" i="2"/>
  <c r="F128" i="2"/>
  <c r="F130" i="2"/>
  <c r="F163" i="2"/>
  <c r="F165" i="2"/>
  <c r="F173" i="2"/>
  <c r="F175" i="2"/>
  <c r="F190" i="2"/>
  <c r="F192" i="2"/>
  <c r="F194" i="2"/>
  <c r="F209" i="2"/>
  <c r="F214" i="2"/>
  <c r="F231" i="2"/>
  <c r="J61" i="2"/>
  <c r="F242" i="2"/>
  <c r="E216" i="2"/>
  <c r="E218" i="2"/>
  <c r="E220" i="2"/>
  <c r="E229" i="2"/>
  <c r="E231" i="2"/>
  <c r="E212" i="2"/>
  <c r="E225" i="2"/>
  <c r="E239" i="2"/>
  <c r="E210" i="2"/>
  <c r="E234" i="2"/>
  <c r="E208" i="2"/>
  <c r="E237" i="2"/>
  <c r="E202" i="2"/>
  <c r="E221" i="2"/>
  <c r="E228" i="2"/>
  <c r="E232" i="2"/>
  <c r="E215" i="2"/>
  <c r="E217" i="2"/>
  <c r="E219" i="2"/>
  <c r="E226" i="2"/>
  <c r="E230" i="2"/>
  <c r="G19" i="2"/>
  <c r="G33" i="2"/>
  <c r="G38" i="2"/>
  <c r="G43" i="2"/>
  <c r="G48" i="2"/>
  <c r="G55" i="2"/>
  <c r="G71" i="2"/>
  <c r="G76" i="2"/>
  <c r="G85" i="2"/>
  <c r="G90" i="2"/>
  <c r="G92" i="2"/>
  <c r="G106" i="2"/>
  <c r="G111" i="2"/>
  <c r="G127" i="2"/>
  <c r="G136" i="2"/>
  <c r="G145" i="2"/>
  <c r="G154" i="2"/>
  <c r="G170" i="2"/>
  <c r="G174" i="2"/>
  <c r="G182" i="2"/>
  <c r="G163" i="2"/>
  <c r="G11" i="2"/>
  <c r="G16" i="2"/>
  <c r="G23" i="2"/>
  <c r="G52" i="2"/>
  <c r="G96" i="2"/>
  <c r="G103" i="2"/>
  <c r="G108" i="2"/>
  <c r="G124" i="2"/>
  <c r="G133" i="2"/>
  <c r="G151" i="2"/>
  <c r="G158" i="2"/>
  <c r="G214" i="2"/>
  <c r="G6" i="2"/>
  <c r="G8" i="2"/>
  <c r="G30" i="2"/>
  <c r="G32" i="2"/>
  <c r="G37" i="2"/>
  <c r="G47" i="2"/>
  <c r="G61" i="2"/>
  <c r="G66" i="2"/>
  <c r="G68" i="2"/>
  <c r="G70" i="2"/>
  <c r="G75" i="2"/>
  <c r="G84" i="2"/>
  <c r="G89" i="2"/>
  <c r="G105" i="2"/>
  <c r="G119" i="2"/>
  <c r="G144" i="2"/>
  <c r="G153" i="2"/>
  <c r="G222" i="2"/>
  <c r="G13" i="2"/>
  <c r="G18" i="2"/>
  <c r="G20" i="2"/>
  <c r="G25" i="2"/>
  <c r="G42" i="2"/>
  <c r="G44" i="2"/>
  <c r="G54" i="2"/>
  <c r="G56" i="2"/>
  <c r="G91" i="2"/>
  <c r="G93" i="2"/>
  <c r="G98" i="2"/>
  <c r="G110" i="2"/>
  <c r="G112" i="2"/>
  <c r="G126" i="2"/>
  <c r="G128" i="2"/>
  <c r="G135" i="2"/>
  <c r="G160" i="2"/>
  <c r="G34" i="2"/>
  <c r="G49" i="2"/>
  <c r="G72" i="2"/>
  <c r="G77" i="2"/>
  <c r="G130" i="2"/>
  <c r="G137" i="2"/>
  <c r="G146" i="2"/>
  <c r="G155" i="2"/>
  <c r="G190" i="2"/>
  <c r="G29" i="2"/>
  <c r="G41" i="2"/>
  <c r="G60" i="2"/>
  <c r="G65" i="2"/>
  <c r="G74" i="2"/>
  <c r="G83" i="2"/>
  <c r="G88" i="2"/>
  <c r="G102" i="2"/>
  <c r="G104" i="2"/>
  <c r="G118" i="2"/>
  <c r="G123" i="2"/>
  <c r="G143" i="2"/>
  <c r="G150" i="2"/>
  <c r="G152" i="2"/>
  <c r="G166" i="2"/>
  <c r="G206" i="2"/>
  <c r="G7" i="2"/>
  <c r="G12" i="2"/>
  <c r="G17" i="2"/>
  <c r="G24" i="2"/>
  <c r="G31" i="2"/>
  <c r="G53" i="2"/>
  <c r="G67" i="2"/>
  <c r="G69" i="2"/>
  <c r="G97" i="2"/>
  <c r="G109" i="2"/>
  <c r="G125" i="2"/>
  <c r="G134" i="2"/>
  <c r="G159" i="2"/>
  <c r="G178" i="2"/>
  <c r="G186" i="2"/>
  <c r="E241" i="2"/>
  <c r="E235" i="2"/>
  <c r="E233" i="2"/>
  <c r="E240" i="2"/>
  <c r="E242" i="2"/>
  <c r="E238" i="2"/>
  <c r="L238" i="2" s="1"/>
  <c r="M238" i="2" s="1"/>
  <c r="E245" i="2"/>
  <c r="E236" i="2"/>
  <c r="E223" i="2"/>
  <c r="H69" i="2"/>
  <c r="I69" i="2" s="1"/>
  <c r="Q69" i="2" s="1"/>
  <c r="L100" i="2"/>
  <c r="M100" i="2" s="1"/>
  <c r="H111" i="2"/>
  <c r="I111" i="2" s="1"/>
  <c r="Q111" i="2" s="1"/>
  <c r="H140" i="2"/>
  <c r="I140" i="2" s="1"/>
  <c r="H164" i="2"/>
  <c r="I164" i="2" s="1"/>
  <c r="H171" i="2"/>
  <c r="I171" i="2" s="1"/>
  <c r="Q171" i="2" s="1"/>
  <c r="H190" i="2"/>
  <c r="H243" i="2"/>
  <c r="I243" i="2" s="1"/>
  <c r="J243" i="2" s="1"/>
  <c r="J10" i="2"/>
  <c r="H135" i="2"/>
  <c r="I135" i="2" s="1"/>
  <c r="Q135" i="2" s="1"/>
  <c r="J57" i="2"/>
  <c r="L57" i="2" s="1"/>
  <c r="M57" i="2" s="1"/>
  <c r="H123" i="2"/>
  <c r="H147" i="2"/>
  <c r="H183" i="2"/>
  <c r="I183" i="2" s="1"/>
  <c r="Q183" i="2" s="1"/>
  <c r="H206" i="2"/>
  <c r="H68" i="2"/>
  <c r="I68" i="2" s="1"/>
  <c r="Q68" i="2" s="1"/>
  <c r="H92" i="2"/>
  <c r="I92" i="2" s="1"/>
  <c r="J92" i="2" s="1"/>
  <c r="H110" i="2"/>
  <c r="I110" i="2" s="1"/>
  <c r="Q110" i="2" s="1"/>
  <c r="H189" i="2"/>
  <c r="I189" i="2" s="1"/>
  <c r="H80" i="2"/>
  <c r="H170" i="2"/>
  <c r="H213" i="2"/>
  <c r="H231" i="2"/>
  <c r="I231" i="2" s="1"/>
  <c r="Q231" i="2" s="1"/>
  <c r="H242" i="2"/>
  <c r="H129" i="2"/>
  <c r="I195" i="2"/>
  <c r="Q195" i="2" s="1"/>
  <c r="H226" i="2"/>
  <c r="H42" i="2"/>
  <c r="I42" i="2" s="1"/>
  <c r="Q42" i="2" s="1"/>
  <c r="H114" i="2"/>
  <c r="J119" i="2"/>
  <c r="L119" i="2" s="1"/>
  <c r="H186" i="2"/>
  <c r="H78" i="2"/>
  <c r="I78" i="2" s="1"/>
  <c r="J78" i="2" s="1"/>
  <c r="L78" i="2" s="1"/>
  <c r="M78" i="2" s="1"/>
  <c r="J85" i="2"/>
  <c r="H90" i="2"/>
  <c r="I90" i="2" s="1"/>
  <c r="Q173" i="2"/>
  <c r="H150" i="2"/>
  <c r="I150" i="2" s="1"/>
  <c r="Q150" i="2" s="1"/>
  <c r="J68" i="2"/>
  <c r="L68" i="2" s="1"/>
  <c r="H6" i="2"/>
  <c r="I6" i="2" s="1"/>
  <c r="J202" i="2"/>
  <c r="L202" i="2" s="1"/>
  <c r="H162" i="2"/>
  <c r="H198" i="2"/>
  <c r="I198" i="2" s="1"/>
  <c r="Q198" i="2" s="1"/>
  <c r="H102" i="2"/>
  <c r="H126" i="2"/>
  <c r="I126" i="2" s="1"/>
  <c r="Q126" i="2" s="1"/>
  <c r="H224" i="2"/>
  <c r="I224" i="2" s="1"/>
  <c r="Q224" i="2" s="1"/>
  <c r="H236" i="2"/>
  <c r="J53" i="2"/>
  <c r="H18" i="2"/>
  <c r="I18" i="2" s="1"/>
  <c r="H54" i="2"/>
  <c r="J69" i="2"/>
  <c r="L69" i="2" s="1"/>
  <c r="M69" i="2" s="1"/>
  <c r="J123" i="2"/>
  <c r="L123" i="2" s="1"/>
  <c r="M123" i="2" s="1"/>
  <c r="H174" i="2"/>
  <c r="H30" i="2"/>
  <c r="I30" i="2" s="1"/>
  <c r="Q30" i="2" s="1"/>
  <c r="I123" i="2"/>
  <c r="Q123" i="2" s="1"/>
  <c r="L173" i="2"/>
  <c r="J22" i="2"/>
  <c r="J45" i="2"/>
  <c r="H66" i="2"/>
  <c r="I66" i="2" s="1"/>
  <c r="I115" i="2"/>
  <c r="I212" i="2"/>
  <c r="Q212" i="2" s="1"/>
  <c r="I239" i="2"/>
  <c r="Q239" i="2" s="1"/>
  <c r="J169" i="2"/>
  <c r="L169" i="2" s="1"/>
  <c r="Q169" i="2"/>
  <c r="I232" i="2"/>
  <c r="Q232" i="2" s="1"/>
  <c r="J9" i="2"/>
  <c r="L9" i="2" s="1"/>
  <c r="M9" i="2" s="1"/>
  <c r="L14" i="2"/>
  <c r="M14" i="2" s="1"/>
  <c r="J32" i="2"/>
  <c r="L32" i="2" s="1"/>
  <c r="J118" i="2"/>
  <c r="J138" i="2"/>
  <c r="L138" i="2" s="1"/>
  <c r="M138" i="2" s="1"/>
  <c r="H199" i="2"/>
  <c r="C64" i="3"/>
  <c r="C65" i="3" s="1"/>
  <c r="C41" i="1" s="1"/>
  <c r="J50" i="2"/>
  <c r="L50" i="2" s="1"/>
  <c r="M50" i="2" s="1"/>
  <c r="I81" i="2"/>
  <c r="Q81" i="2" s="1"/>
  <c r="I89" i="2"/>
  <c r="Q89" i="2" s="1"/>
  <c r="I95" i="2"/>
  <c r="Q95" i="2" s="1"/>
  <c r="J160" i="2"/>
  <c r="H211" i="2"/>
  <c r="J221" i="2"/>
  <c r="L221" i="2" s="1"/>
  <c r="I226" i="2"/>
  <c r="Q226" i="2" s="1"/>
  <c r="J8" i="2"/>
  <c r="L8" i="2" s="1"/>
  <c r="J110" i="2"/>
  <c r="I114" i="2"/>
  <c r="Q114" i="2" s="1"/>
  <c r="I128" i="2"/>
  <c r="J128" i="2" s="1"/>
  <c r="I131" i="2"/>
  <c r="J131" i="2" s="1"/>
  <c r="I134" i="2"/>
  <c r="Q134" i="2" s="1"/>
  <c r="I154" i="2"/>
  <c r="Q154" i="2" s="1"/>
  <c r="I181" i="2"/>
  <c r="Q181" i="2" s="1"/>
  <c r="I186" i="2"/>
  <c r="Q186" i="2" s="1"/>
  <c r="J191" i="2"/>
  <c r="L191" i="2" s="1"/>
  <c r="I196" i="2"/>
  <c r="Q196" i="2" s="1"/>
  <c r="I206" i="2"/>
  <c r="Q206" i="2" s="1"/>
  <c r="I216" i="2"/>
  <c r="Q216" i="2" s="1"/>
  <c r="I40" i="2"/>
  <c r="Q40" i="2" s="1"/>
  <c r="H43" i="2"/>
  <c r="I80" i="2"/>
  <c r="Q80" i="2" s="1"/>
  <c r="H103" i="2"/>
  <c r="J124" i="2"/>
  <c r="L124" i="2" s="1"/>
  <c r="M124" i="2" s="1"/>
  <c r="H127" i="2"/>
  <c r="J198" i="2"/>
  <c r="L198" i="2" s="1"/>
  <c r="M198" i="2" s="1"/>
  <c r="J203" i="2"/>
  <c r="I218" i="2"/>
  <c r="Q218" i="2" s="1"/>
  <c r="J228" i="2"/>
  <c r="L13" i="2"/>
  <c r="H19" i="2"/>
  <c r="J28" i="2"/>
  <c r="L28" i="2" s="1"/>
  <c r="M28" i="2" s="1"/>
  <c r="H31" i="2"/>
  <c r="J46" i="2"/>
  <c r="L46" i="2" s="1"/>
  <c r="M46" i="2" s="1"/>
  <c r="J52" i="2"/>
  <c r="L52" i="2" s="1"/>
  <c r="M52" i="2" s="1"/>
  <c r="I65" i="2"/>
  <c r="Q65" i="2" s="1"/>
  <c r="I77" i="2"/>
  <c r="Q77" i="2" s="1"/>
  <c r="H91" i="2"/>
  <c r="I91" i="2" s="1"/>
  <c r="Q91" i="2" s="1"/>
  <c r="J106" i="2"/>
  <c r="L106" i="2" s="1"/>
  <c r="J130" i="2"/>
  <c r="L130" i="2" s="1"/>
  <c r="M130" i="2" s="1"/>
  <c r="H151" i="2"/>
  <c r="I151" i="2" s="1"/>
  <c r="Q151" i="2" s="1"/>
  <c r="J188" i="2"/>
  <c r="L188" i="2" s="1"/>
  <c r="H208" i="2"/>
  <c r="H223" i="2"/>
  <c r="J230" i="2"/>
  <c r="H235" i="2"/>
  <c r="H244" i="2"/>
  <c r="I244" i="2" s="1"/>
  <c r="Q244" i="2" s="1"/>
  <c r="J56" i="2"/>
  <c r="I25" i="2"/>
  <c r="J25" i="2" s="1"/>
  <c r="I49" i="2"/>
  <c r="Q49" i="2" s="1"/>
  <c r="H55" i="2"/>
  <c r="I55" i="2" s="1"/>
  <c r="Q55" i="2" s="1"/>
  <c r="Q100" i="2"/>
  <c r="H175" i="2"/>
  <c r="I175" i="2" s="1"/>
  <c r="Q175" i="2" s="1"/>
  <c r="H210" i="2"/>
  <c r="H220" i="2"/>
  <c r="H237" i="2"/>
  <c r="I237" i="2" s="1"/>
  <c r="Q237" i="2" s="1"/>
  <c r="H7" i="2"/>
  <c r="I7" i="2" s="1"/>
  <c r="J7" i="2" s="1"/>
  <c r="L7" i="2" s="1"/>
  <c r="M7" i="2" s="1"/>
  <c r="J36" i="2"/>
  <c r="J64" i="2"/>
  <c r="L64" i="2" s="1"/>
  <c r="J76" i="2"/>
  <c r="L76" i="2" s="1"/>
  <c r="M76" i="2" s="1"/>
  <c r="I143" i="2"/>
  <c r="J143" i="2" s="1"/>
  <c r="J144" i="2"/>
  <c r="L144" i="2" s="1"/>
  <c r="M144" i="2" s="1"/>
  <c r="I147" i="2"/>
  <c r="J147" i="2" s="1"/>
  <c r="J156" i="2"/>
  <c r="L156" i="2" s="1"/>
  <c r="M156" i="2" s="1"/>
  <c r="H200" i="2"/>
  <c r="J205" i="2"/>
  <c r="L205" i="2" s="1"/>
  <c r="J48" i="2"/>
  <c r="H67" i="2"/>
  <c r="I67" i="2" s="1"/>
  <c r="Q67" i="2" s="1"/>
  <c r="H79" i="2"/>
  <c r="I79" i="2" s="1"/>
  <c r="Q79" i="2" s="1"/>
  <c r="I180" i="2"/>
  <c r="Q180" i="2" s="1"/>
  <c r="I190" i="2"/>
  <c r="Q190" i="2" s="1"/>
  <c r="I215" i="2"/>
  <c r="Q215" i="2" s="1"/>
  <c r="I33" i="2"/>
  <c r="Q33" i="2" s="1"/>
  <c r="I73" i="2"/>
  <c r="Q73" i="2" s="1"/>
  <c r="J122" i="2"/>
  <c r="L122" i="2" s="1"/>
  <c r="H139" i="2"/>
  <c r="J142" i="2"/>
  <c r="L142" i="2" s="1"/>
  <c r="M142" i="2" s="1"/>
  <c r="J146" i="2"/>
  <c r="L146" i="2" s="1"/>
  <c r="M146" i="2" s="1"/>
  <c r="J158" i="2"/>
  <c r="H222" i="2"/>
  <c r="J227" i="2"/>
  <c r="H234" i="2"/>
  <c r="J238" i="2"/>
  <c r="J21" i="2"/>
  <c r="H187" i="2"/>
  <c r="J44" i="2"/>
  <c r="L44" i="2" s="1"/>
  <c r="I60" i="2"/>
  <c r="Q60" i="2" s="1"/>
  <c r="J72" i="2"/>
  <c r="L72" i="2" s="1"/>
  <c r="J112" i="2"/>
  <c r="L112" i="2" s="1"/>
  <c r="M112" i="2" s="1"/>
  <c r="I182" i="2"/>
  <c r="Q182" i="2" s="1"/>
  <c r="I192" i="2"/>
  <c r="Q192" i="2" s="1"/>
  <c r="J194" i="2"/>
  <c r="J204" i="2"/>
  <c r="I207" i="2"/>
  <c r="Q207" i="2" s="1"/>
  <c r="J214" i="2"/>
  <c r="L214" i="2" s="1"/>
  <c r="J219" i="2"/>
  <c r="L219" i="2" s="1"/>
  <c r="J241" i="2"/>
  <c r="L241" i="2" s="1"/>
  <c r="J20" i="2"/>
  <c r="L20" i="2" s="1"/>
  <c r="I11" i="2"/>
  <c r="J11" i="2" s="1"/>
  <c r="I35" i="2"/>
  <c r="Q35" i="2" s="1"/>
  <c r="J37" i="2"/>
  <c r="I96" i="2"/>
  <c r="J12" i="2"/>
  <c r="L16" i="2"/>
  <c r="I17" i="2"/>
  <c r="J17" i="2" s="1"/>
  <c r="I23" i="2"/>
  <c r="J24" i="2"/>
  <c r="L24" i="2" s="1"/>
  <c r="M24" i="2" s="1"/>
  <c r="I31" i="2"/>
  <c r="Q41" i="2"/>
  <c r="J26" i="2"/>
  <c r="L26" i="2" s="1"/>
  <c r="M26" i="2" s="1"/>
  <c r="I27" i="2"/>
  <c r="Q27" i="2" s="1"/>
  <c r="I34" i="2"/>
  <c r="Q34" i="2" s="1"/>
  <c r="L37" i="2"/>
  <c r="M37" i="2" s="1"/>
  <c r="J41" i="2"/>
  <c r="J29" i="2"/>
  <c r="L29" i="2" s="1"/>
  <c r="I108" i="2"/>
  <c r="Q116" i="2"/>
  <c r="J116" i="2"/>
  <c r="L116" i="2" s="1"/>
  <c r="M116" i="2" s="1"/>
  <c r="J15" i="2"/>
  <c r="L15" i="2" s="1"/>
  <c r="M15" i="2" s="1"/>
  <c r="J38" i="2"/>
  <c r="L38" i="2" s="1"/>
  <c r="M38" i="2" s="1"/>
  <c r="L92" i="2"/>
  <c r="M92" i="2" s="1"/>
  <c r="Q104" i="2"/>
  <c r="J104" i="2"/>
  <c r="L104" i="2" s="1"/>
  <c r="I152" i="2"/>
  <c r="J152" i="2" s="1"/>
  <c r="Q156" i="2"/>
  <c r="I213" i="2"/>
  <c r="J213" i="2" s="1"/>
  <c r="Q107" i="2"/>
  <c r="J107" i="2"/>
  <c r="L107" i="2" s="1"/>
  <c r="M107" i="2" s="1"/>
  <c r="Q148" i="2"/>
  <c r="L148" i="2"/>
  <c r="M148" i="2" s="1"/>
  <c r="Q163" i="2"/>
  <c r="J163" i="2"/>
  <c r="L163" i="2" s="1"/>
  <c r="M163" i="2" s="1"/>
  <c r="I54" i="2"/>
  <c r="I58" i="2"/>
  <c r="Q58" i="2" s="1"/>
  <c r="L61" i="2"/>
  <c r="I62" i="2"/>
  <c r="Q62" i="2" s="1"/>
  <c r="I70" i="2"/>
  <c r="Q70" i="2" s="1"/>
  <c r="I74" i="2"/>
  <c r="Q74" i="2" s="1"/>
  <c r="I82" i="2"/>
  <c r="Q82" i="2" s="1"/>
  <c r="I86" i="2"/>
  <c r="Q86" i="2" s="1"/>
  <c r="I97" i="2"/>
  <c r="Q97" i="2" s="1"/>
  <c r="J98" i="2"/>
  <c r="Q159" i="2"/>
  <c r="J159" i="2"/>
  <c r="L159" i="2" s="1"/>
  <c r="Q132" i="2"/>
  <c r="Q155" i="2"/>
  <c r="J155" i="2"/>
  <c r="L155" i="2" s="1"/>
  <c r="I179" i="2"/>
  <c r="Q179" i="2" s="1"/>
  <c r="I197" i="2"/>
  <c r="J197" i="2"/>
  <c r="I120" i="2"/>
  <c r="J132" i="2"/>
  <c r="J151" i="2"/>
  <c r="L151" i="2" s="1"/>
  <c r="I39" i="2"/>
  <c r="Q39" i="2" s="1"/>
  <c r="I43" i="2"/>
  <c r="J43" i="2" s="1"/>
  <c r="I47" i="2"/>
  <c r="Q47" i="2" s="1"/>
  <c r="I51" i="2"/>
  <c r="Q51" i="2" s="1"/>
  <c r="I59" i="2"/>
  <c r="Q59" i="2" s="1"/>
  <c r="I63" i="2"/>
  <c r="Q63" i="2" s="1"/>
  <c r="I71" i="2"/>
  <c r="Q71" i="2" s="1"/>
  <c r="I75" i="2"/>
  <c r="Q75" i="2" s="1"/>
  <c r="I83" i="2"/>
  <c r="Q83" i="2" s="1"/>
  <c r="I87" i="2"/>
  <c r="Q87" i="2" s="1"/>
  <c r="I99" i="2"/>
  <c r="Q99" i="2" s="1"/>
  <c r="Q136" i="2"/>
  <c r="J136" i="2"/>
  <c r="J93" i="2"/>
  <c r="L93" i="2" s="1"/>
  <c r="J101" i="2"/>
  <c r="L101" i="2" s="1"/>
  <c r="M101" i="2" s="1"/>
  <c r="Q140" i="2"/>
  <c r="I229" i="2"/>
  <c r="J229" i="2" s="1"/>
  <c r="I84" i="2"/>
  <c r="I88" i="2"/>
  <c r="Q88" i="2" s="1"/>
  <c r="Q112" i="2"/>
  <c r="Q124" i="2"/>
  <c r="I94" i="2"/>
  <c r="I102" i="2"/>
  <c r="J102" i="2" s="1"/>
  <c r="Q164" i="2"/>
  <c r="J105" i="2"/>
  <c r="L105" i="2" s="1"/>
  <c r="M105" i="2" s="1"/>
  <c r="J109" i="2"/>
  <c r="L109" i="2" s="1"/>
  <c r="M109" i="2" s="1"/>
  <c r="Q144" i="2"/>
  <c r="Q160" i="2"/>
  <c r="J164" i="2"/>
  <c r="L164" i="2" s="1"/>
  <c r="M164" i="2" s="1"/>
  <c r="C45" i="1"/>
  <c r="C48" i="1" s="1"/>
  <c r="G244" i="2"/>
  <c r="G240" i="2"/>
  <c r="G236" i="2"/>
  <c r="G232" i="2"/>
  <c r="G228" i="2"/>
  <c r="G224" i="2"/>
  <c r="G220" i="2"/>
  <c r="G216" i="2"/>
  <c r="G212" i="2"/>
  <c r="G208" i="2"/>
  <c r="G204" i="2"/>
  <c r="G200" i="2"/>
  <c r="G196" i="2"/>
  <c r="G192" i="2"/>
  <c r="G188" i="2"/>
  <c r="G184" i="2"/>
  <c r="G180" i="2"/>
  <c r="G176" i="2"/>
  <c r="G172" i="2"/>
  <c r="G168" i="2"/>
  <c r="G243" i="2"/>
  <c r="G239" i="2"/>
  <c r="G235" i="2"/>
  <c r="G231" i="2"/>
  <c r="G227" i="2"/>
  <c r="G223" i="2"/>
  <c r="G219" i="2"/>
  <c r="G215" i="2"/>
  <c r="G211" i="2"/>
  <c r="G207" i="2"/>
  <c r="G203" i="2"/>
  <c r="G199" i="2"/>
  <c r="G195" i="2"/>
  <c r="G191" i="2"/>
  <c r="G187" i="2"/>
  <c r="G183" i="2"/>
  <c r="G179" i="2"/>
  <c r="G175" i="2"/>
  <c r="G171" i="2"/>
  <c r="G167" i="2"/>
  <c r="G245" i="2"/>
  <c r="G241" i="2"/>
  <c r="G237" i="2"/>
  <c r="G233" i="2"/>
  <c r="G229" i="2"/>
  <c r="G225" i="2"/>
  <c r="G221" i="2"/>
  <c r="G217" i="2"/>
  <c r="G213" i="2"/>
  <c r="G209" i="2"/>
  <c r="G205" i="2"/>
  <c r="G201" i="2"/>
  <c r="G197" i="2"/>
  <c r="G193" i="2"/>
  <c r="G189" i="2"/>
  <c r="G185" i="2"/>
  <c r="G181" i="2"/>
  <c r="G177" i="2"/>
  <c r="G173" i="2"/>
  <c r="M173" i="2" s="1"/>
  <c r="G169" i="2"/>
  <c r="Q193" i="2"/>
  <c r="Q209" i="2"/>
  <c r="Q225" i="2"/>
  <c r="I113" i="2"/>
  <c r="Q113" i="2" s="1"/>
  <c r="I117" i="2"/>
  <c r="I121" i="2"/>
  <c r="Q121" i="2" s="1"/>
  <c r="I125" i="2"/>
  <c r="Q125" i="2" s="1"/>
  <c r="I129" i="2"/>
  <c r="Q129" i="2" s="1"/>
  <c r="I133" i="2"/>
  <c r="Q133" i="2" s="1"/>
  <c r="I137" i="2"/>
  <c r="Q137" i="2" s="1"/>
  <c r="I141" i="2"/>
  <c r="I145" i="2"/>
  <c r="Q145" i="2" s="1"/>
  <c r="I149" i="2"/>
  <c r="Q149" i="2" s="1"/>
  <c r="I153" i="2"/>
  <c r="Q153" i="2" s="1"/>
  <c r="I157" i="2"/>
  <c r="Q157" i="2" s="1"/>
  <c r="I161" i="2"/>
  <c r="Q161" i="2" s="1"/>
  <c r="I165" i="2"/>
  <c r="J167" i="2"/>
  <c r="J168" i="2"/>
  <c r="L168" i="2" s="1"/>
  <c r="J171" i="2"/>
  <c r="L171" i="2" s="1"/>
  <c r="M171" i="2" s="1"/>
  <c r="J172" i="2"/>
  <c r="J176" i="2"/>
  <c r="L176" i="2" s="1"/>
  <c r="J178" i="2"/>
  <c r="L178" i="2" s="1"/>
  <c r="J193" i="2"/>
  <c r="L193" i="2" s="1"/>
  <c r="G202" i="2"/>
  <c r="J209" i="2"/>
  <c r="G218" i="2"/>
  <c r="J225" i="2"/>
  <c r="L225" i="2" s="1"/>
  <c r="G234" i="2"/>
  <c r="Q189" i="2"/>
  <c r="I166" i="2"/>
  <c r="Q166" i="2" s="1"/>
  <c r="I170" i="2"/>
  <c r="Q170" i="2" s="1"/>
  <c r="I174" i="2"/>
  <c r="J177" i="2"/>
  <c r="J185" i="2"/>
  <c r="J189" i="2"/>
  <c r="L189" i="2" s="1"/>
  <c r="Q205" i="2"/>
  <c r="Q221" i="2"/>
  <c r="G230" i="2"/>
  <c r="J184" i="2"/>
  <c r="L184" i="2" s="1"/>
  <c r="M184" i="2" s="1"/>
  <c r="G242" i="2"/>
  <c r="J245" i="2"/>
  <c r="L245" i="2" s="1"/>
  <c r="Q201" i="2"/>
  <c r="Q217" i="2"/>
  <c r="Q233" i="2"/>
  <c r="G194" i="2"/>
  <c r="J201" i="2"/>
  <c r="L201" i="2" s="1"/>
  <c r="G210" i="2"/>
  <c r="J217" i="2"/>
  <c r="G226" i="2"/>
  <c r="J233" i="2"/>
  <c r="I240" i="2"/>
  <c r="Q240" i="2" s="1"/>
  <c r="C24" i="1"/>
  <c r="C25" i="1"/>
  <c r="C27" i="1" s="1"/>
  <c r="C29" i="1" s="1"/>
  <c r="C58" i="1"/>
  <c r="C60" i="1" s="1"/>
  <c r="Q243" i="2"/>
  <c r="I242" i="2"/>
  <c r="Q242" i="2" s="1"/>
  <c r="M104" i="2" l="1"/>
  <c r="M122" i="2"/>
  <c r="M159" i="2"/>
  <c r="M93" i="2"/>
  <c r="M64" i="2"/>
  <c r="M32" i="2"/>
  <c r="M214" i="2"/>
  <c r="M29" i="2"/>
  <c r="M205" i="2"/>
  <c r="M227" i="2"/>
  <c r="M176" i="2"/>
  <c r="M151" i="2"/>
  <c r="M68" i="2"/>
  <c r="L217" i="2"/>
  <c r="E246" i="2"/>
  <c r="L167" i="2"/>
  <c r="M167" i="2" s="1"/>
  <c r="L136" i="2"/>
  <c r="M136" i="2" s="1"/>
  <c r="L98" i="2"/>
  <c r="M98" i="2" s="1"/>
  <c r="L56" i="2"/>
  <c r="M56" i="2" s="1"/>
  <c r="L233" i="2"/>
  <c r="L132" i="2"/>
  <c r="M132" i="2" s="1"/>
  <c r="L36" i="2"/>
  <c r="M36" i="2" s="1"/>
  <c r="L128" i="2"/>
  <c r="M128" i="2" s="1"/>
  <c r="L53" i="2"/>
  <c r="L204" i="2"/>
  <c r="M204" i="2" s="1"/>
  <c r="L85" i="2"/>
  <c r="M85" i="2" s="1"/>
  <c r="L10" i="2"/>
  <c r="M10" i="2" s="1"/>
  <c r="L209" i="2"/>
  <c r="M209" i="2" s="1"/>
  <c r="L194" i="2"/>
  <c r="M194" i="2" s="1"/>
  <c r="L110" i="2"/>
  <c r="M110" i="2" s="1"/>
  <c r="L45" i="2"/>
  <c r="M45" i="2" s="1"/>
  <c r="L12" i="2"/>
  <c r="M12" i="2" s="1"/>
  <c r="L158" i="2"/>
  <c r="M158" i="2" s="1"/>
  <c r="L48" i="2"/>
  <c r="M48" i="2" s="1"/>
  <c r="L118" i="2"/>
  <c r="M118" i="2" s="1"/>
  <c r="L22" i="2"/>
  <c r="M22" i="2" s="1"/>
  <c r="L41" i="2"/>
  <c r="M41" i="2" s="1"/>
  <c r="L185" i="2"/>
  <c r="L228" i="2"/>
  <c r="M228" i="2" s="1"/>
  <c r="L177" i="2"/>
  <c r="M177" i="2" s="1"/>
  <c r="L172" i="2"/>
  <c r="M172" i="2" s="1"/>
  <c r="L203" i="2"/>
  <c r="M203" i="2" s="1"/>
  <c r="L160" i="2"/>
  <c r="M160" i="2" s="1"/>
  <c r="J239" i="2"/>
  <c r="J111" i="2"/>
  <c r="L111" i="2" s="1"/>
  <c r="M111" i="2" s="1"/>
  <c r="L239" i="2"/>
  <c r="M239" i="2" s="1"/>
  <c r="L230" i="2"/>
  <c r="M230" i="2" s="1"/>
  <c r="M53" i="2"/>
  <c r="M189" i="2"/>
  <c r="M16" i="2"/>
  <c r="M178" i="2"/>
  <c r="M8" i="2"/>
  <c r="M155" i="2"/>
  <c r="M61" i="2"/>
  <c r="M13" i="2"/>
  <c r="M72" i="2"/>
  <c r="M119" i="2"/>
  <c r="M245" i="2"/>
  <c r="M106" i="2"/>
  <c r="M20" i="2"/>
  <c r="M44" i="2"/>
  <c r="J150" i="2"/>
  <c r="L150" i="2" s="1"/>
  <c r="M150" i="2" s="1"/>
  <c r="M168" i="2"/>
  <c r="J40" i="2"/>
  <c r="L40" i="2" s="1"/>
  <c r="M40" i="2" s="1"/>
  <c r="G246" i="2"/>
  <c r="J237" i="2"/>
  <c r="L237" i="2" s="1"/>
  <c r="M237" i="2" s="1"/>
  <c r="M217" i="2"/>
  <c r="M241" i="2"/>
  <c r="M221" i="2"/>
  <c r="M169" i="2"/>
  <c r="M201" i="2"/>
  <c r="M193" i="2"/>
  <c r="M185" i="2"/>
  <c r="Q128" i="2"/>
  <c r="J126" i="2"/>
  <c r="L126" i="2" s="1"/>
  <c r="M126" i="2" s="1"/>
  <c r="J232" i="2"/>
  <c r="L232" i="2" s="1"/>
  <c r="M232" i="2" s="1"/>
  <c r="J183" i="2"/>
  <c r="L183" i="2" s="1"/>
  <c r="M183" i="2" s="1"/>
  <c r="J182" i="2"/>
  <c r="L182" i="2" s="1"/>
  <c r="M182" i="2" s="1"/>
  <c r="J42" i="2"/>
  <c r="L42" i="2" s="1"/>
  <c r="M42" i="2" s="1"/>
  <c r="J231" i="2"/>
  <c r="L231" i="2" s="1"/>
  <c r="M231" i="2" s="1"/>
  <c r="J140" i="2"/>
  <c r="L140" i="2" s="1"/>
  <c r="M140" i="2" s="1"/>
  <c r="Q92" i="2"/>
  <c r="J49" i="2"/>
  <c r="L49" i="2" s="1"/>
  <c r="M49" i="2" s="1"/>
  <c r="J18" i="2"/>
  <c r="M18" i="2" s="1"/>
  <c r="J224" i="2"/>
  <c r="J6" i="2"/>
  <c r="J74" i="2"/>
  <c r="L74" i="2" s="1"/>
  <c r="M74" i="2" s="1"/>
  <c r="J195" i="2"/>
  <c r="L195" i="2" s="1"/>
  <c r="M195" i="2" s="1"/>
  <c r="J30" i="2"/>
  <c r="L30" i="2" s="1"/>
  <c r="M30" i="2" s="1"/>
  <c r="J77" i="2"/>
  <c r="L77" i="2" s="1"/>
  <c r="M77" i="2" s="1"/>
  <c r="J215" i="2"/>
  <c r="L215" i="2" s="1"/>
  <c r="M215" i="2" s="1"/>
  <c r="J196" i="2"/>
  <c r="L196" i="2" s="1"/>
  <c r="M196" i="2" s="1"/>
  <c r="J186" i="2"/>
  <c r="L186" i="2" s="1"/>
  <c r="M186" i="2" s="1"/>
  <c r="I162" i="2"/>
  <c r="L224" i="2"/>
  <c r="M224" i="2" s="1"/>
  <c r="J181" i="2"/>
  <c r="L181" i="2" s="1"/>
  <c r="M181" i="2" s="1"/>
  <c r="I236" i="2"/>
  <c r="M202" i="2"/>
  <c r="J97" i="2"/>
  <c r="L97" i="2" s="1"/>
  <c r="M97" i="2" s="1"/>
  <c r="J70" i="2"/>
  <c r="L70" i="2" s="1"/>
  <c r="M70" i="2" s="1"/>
  <c r="J207" i="2"/>
  <c r="L207" i="2" s="1"/>
  <c r="M207" i="2" s="1"/>
  <c r="J226" i="2"/>
  <c r="L226" i="2" s="1"/>
  <c r="M226" i="2" s="1"/>
  <c r="J212" i="2"/>
  <c r="L212" i="2" s="1"/>
  <c r="M212" i="2" s="1"/>
  <c r="J135" i="2"/>
  <c r="L135" i="2" s="1"/>
  <c r="M135" i="2" s="1"/>
  <c r="J192" i="2"/>
  <c r="L192" i="2" s="1"/>
  <c r="M192" i="2" s="1"/>
  <c r="I19" i="2"/>
  <c r="J19" i="2" s="1"/>
  <c r="I187" i="2"/>
  <c r="R21" i="2" s="1"/>
  <c r="L25" i="2"/>
  <c r="M25" i="2" s="1"/>
  <c r="I200" i="2"/>
  <c r="J200" i="2" s="1"/>
  <c r="J154" i="2"/>
  <c r="L154" i="2" s="1"/>
  <c r="M154" i="2" s="1"/>
  <c r="J157" i="2"/>
  <c r="L157" i="2" s="1"/>
  <c r="M157" i="2" s="1"/>
  <c r="J60" i="2"/>
  <c r="L60" i="2" s="1"/>
  <c r="M60" i="2" s="1"/>
  <c r="I139" i="2"/>
  <c r="J190" i="2"/>
  <c r="L190" i="2" s="1"/>
  <c r="M190" i="2" s="1"/>
  <c r="J134" i="2"/>
  <c r="L134" i="2" s="1"/>
  <c r="M134" i="2" s="1"/>
  <c r="I199" i="2"/>
  <c r="J81" i="2"/>
  <c r="L81" i="2" s="1"/>
  <c r="M81" i="2" s="1"/>
  <c r="J65" i="2"/>
  <c r="L65" i="2" s="1"/>
  <c r="M65" i="2" s="1"/>
  <c r="I208" i="2"/>
  <c r="J242" i="2"/>
  <c r="L242" i="2" s="1"/>
  <c r="M242" i="2" s="1"/>
  <c r="J175" i="2"/>
  <c r="L175" i="2" s="1"/>
  <c r="M175" i="2" s="1"/>
  <c r="M219" i="2"/>
  <c r="M188" i="2"/>
  <c r="J87" i="2"/>
  <c r="L87" i="2" s="1"/>
  <c r="M87" i="2" s="1"/>
  <c r="J180" i="2"/>
  <c r="L180" i="2" s="1"/>
  <c r="M180" i="2" s="1"/>
  <c r="I220" i="2"/>
  <c r="J220" i="2" s="1"/>
  <c r="J95" i="2"/>
  <c r="L95" i="2" s="1"/>
  <c r="M95" i="2" s="1"/>
  <c r="J90" i="2"/>
  <c r="L90" i="2" s="1"/>
  <c r="M90" i="2" s="1"/>
  <c r="H246" i="2"/>
  <c r="J82" i="2"/>
  <c r="L82" i="2" s="1"/>
  <c r="M82" i="2" s="1"/>
  <c r="J66" i="2"/>
  <c r="L66" i="2" s="1"/>
  <c r="M66" i="2" s="1"/>
  <c r="Q131" i="2"/>
  <c r="L131" i="2"/>
  <c r="M131" i="2" s="1"/>
  <c r="J79" i="2"/>
  <c r="L79" i="2" s="1"/>
  <c r="M79" i="2" s="1"/>
  <c r="Q147" i="2"/>
  <c r="L147" i="2"/>
  <c r="M147" i="2" s="1"/>
  <c r="I210" i="2"/>
  <c r="J210" i="2" s="1"/>
  <c r="J218" i="2"/>
  <c r="L218" i="2" s="1"/>
  <c r="M218" i="2" s="1"/>
  <c r="J216" i="2"/>
  <c r="L216" i="2" s="1"/>
  <c r="M216" i="2" s="1"/>
  <c r="J114" i="2"/>
  <c r="L114" i="2" s="1"/>
  <c r="M114" i="2" s="1"/>
  <c r="I103" i="2"/>
  <c r="R14" i="2" s="1"/>
  <c r="J174" i="2"/>
  <c r="L174" i="2" s="1"/>
  <c r="M174" i="2" s="1"/>
  <c r="I211" i="2"/>
  <c r="J211" i="2" s="1"/>
  <c r="C46" i="1"/>
  <c r="C51" i="1" s="1"/>
  <c r="I234" i="2"/>
  <c r="L143" i="2"/>
  <c r="M143" i="2" s="1"/>
  <c r="Q143" i="2"/>
  <c r="I235" i="2"/>
  <c r="J235" i="2" s="1"/>
  <c r="I127" i="2"/>
  <c r="J206" i="2"/>
  <c r="L206" i="2" s="1"/>
  <c r="M206" i="2" s="1"/>
  <c r="J89" i="2"/>
  <c r="L89" i="2" s="1"/>
  <c r="M89" i="2" s="1"/>
  <c r="J73" i="2"/>
  <c r="L73" i="2" s="1"/>
  <c r="M73" i="2" s="1"/>
  <c r="Q115" i="2"/>
  <c r="M191" i="2"/>
  <c r="J117" i="2"/>
  <c r="L117" i="2" s="1"/>
  <c r="M117" i="2" s="1"/>
  <c r="J91" i="2"/>
  <c r="L91" i="2" s="1"/>
  <c r="M91" i="2" s="1"/>
  <c r="J165" i="2"/>
  <c r="L165" i="2" s="1"/>
  <c r="M165" i="2" s="1"/>
  <c r="J88" i="2"/>
  <c r="L88" i="2" s="1"/>
  <c r="M88" i="2" s="1"/>
  <c r="I222" i="2"/>
  <c r="I223" i="2"/>
  <c r="J223" i="2" s="1"/>
  <c r="J80" i="2"/>
  <c r="L80" i="2" s="1"/>
  <c r="M80" i="2" s="1"/>
  <c r="J33" i="2"/>
  <c r="L33" i="2" s="1"/>
  <c r="M33" i="2" s="1"/>
  <c r="J115" i="2"/>
  <c r="L115" i="2" s="1"/>
  <c r="M115" i="2" s="1"/>
  <c r="Q94" i="2"/>
  <c r="M225" i="2"/>
  <c r="Q108" i="2"/>
  <c r="J34" i="2"/>
  <c r="J86" i="2"/>
  <c r="L86" i="2" s="1"/>
  <c r="M86" i="2" s="1"/>
  <c r="L197" i="2"/>
  <c r="M197" i="2" s="1"/>
  <c r="Q197" i="2"/>
  <c r="Q141" i="2"/>
  <c r="J137" i="2"/>
  <c r="L137" i="2" s="1"/>
  <c r="M137" i="2" s="1"/>
  <c r="J108" i="2"/>
  <c r="L108" i="2" s="1"/>
  <c r="M108" i="2" s="1"/>
  <c r="J75" i="2"/>
  <c r="L75" i="2" s="1"/>
  <c r="M75" i="2" s="1"/>
  <c r="Q31" i="2"/>
  <c r="R8" i="2"/>
  <c r="M243" i="2"/>
  <c r="J240" i="2"/>
  <c r="L240" i="2" s="1"/>
  <c r="M240" i="2" s="1"/>
  <c r="J179" i="2"/>
  <c r="L179" i="2" s="1"/>
  <c r="M179" i="2" s="1"/>
  <c r="R6" i="2"/>
  <c r="J58" i="2"/>
  <c r="L58" i="2" s="1"/>
  <c r="M58" i="2" s="1"/>
  <c r="J51" i="2"/>
  <c r="L51" i="2" s="1"/>
  <c r="M51" i="2" s="1"/>
  <c r="J27" i="2"/>
  <c r="L27" i="2" s="1"/>
  <c r="M27" i="2" s="1"/>
  <c r="J83" i="2"/>
  <c r="L83" i="2" s="1"/>
  <c r="M83" i="2" s="1"/>
  <c r="J125" i="2"/>
  <c r="L125" i="2" s="1"/>
  <c r="M125" i="2" s="1"/>
  <c r="Q78" i="2"/>
  <c r="R12" i="2"/>
  <c r="Q54" i="2"/>
  <c r="R10" i="2"/>
  <c r="L113" i="2"/>
  <c r="M113" i="2" s="1"/>
  <c r="J71" i="2"/>
  <c r="L71" i="2" s="1"/>
  <c r="M71" i="2" s="1"/>
  <c r="J59" i="2"/>
  <c r="L59" i="2" s="1"/>
  <c r="M59" i="2" s="1"/>
  <c r="J170" i="2"/>
  <c r="L170" i="2" s="1"/>
  <c r="M170" i="2" s="1"/>
  <c r="J94" i="2"/>
  <c r="L94" i="2" s="1"/>
  <c r="M94" i="2" s="1"/>
  <c r="Q120" i="2"/>
  <c r="J54" i="2"/>
  <c r="L54" i="2" s="1"/>
  <c r="M54" i="2" s="1"/>
  <c r="J47" i="2"/>
  <c r="L47" i="2" s="1"/>
  <c r="M47" i="2" s="1"/>
  <c r="J120" i="2"/>
  <c r="L120" i="2" s="1"/>
  <c r="M120" i="2" s="1"/>
  <c r="J35" i="2"/>
  <c r="L35" i="2" s="1"/>
  <c r="M35" i="2" s="1"/>
  <c r="Q236" i="2"/>
  <c r="Q174" i="2"/>
  <c r="R20" i="2"/>
  <c r="J166" i="2"/>
  <c r="L166" i="2" s="1"/>
  <c r="M166" i="2" s="1"/>
  <c r="J153" i="2"/>
  <c r="L153" i="2" s="1"/>
  <c r="M153" i="2" s="1"/>
  <c r="J161" i="2"/>
  <c r="L161" i="2" s="1"/>
  <c r="M161" i="2" s="1"/>
  <c r="J113" i="2"/>
  <c r="J133" i="2"/>
  <c r="L133" i="2" s="1"/>
  <c r="M133" i="2" s="1"/>
  <c r="J39" i="2"/>
  <c r="L39" i="2" s="1"/>
  <c r="M39" i="2" s="1"/>
  <c r="L11" i="2"/>
  <c r="M11" i="2" s="1"/>
  <c r="L34" i="2"/>
  <c r="M34" i="2" s="1"/>
  <c r="M233" i="2"/>
  <c r="J149" i="2"/>
  <c r="L149" i="2" s="1"/>
  <c r="M149" i="2" s="1"/>
  <c r="Q84" i="2"/>
  <c r="Q43" i="2"/>
  <c r="R9" i="2"/>
  <c r="Q165" i="2"/>
  <c r="Q117" i="2"/>
  <c r="R15" i="2"/>
  <c r="J145" i="2"/>
  <c r="J244" i="2"/>
  <c r="L244" i="2" s="1"/>
  <c r="M244" i="2" s="1"/>
  <c r="Q152" i="2"/>
  <c r="L152" i="2"/>
  <c r="M152" i="2" s="1"/>
  <c r="R18" i="2"/>
  <c r="J84" i="2"/>
  <c r="L84" i="2" s="1"/>
  <c r="M84" i="2" s="1"/>
  <c r="J62" i="2"/>
  <c r="L62" i="2" s="1"/>
  <c r="M62" i="2" s="1"/>
  <c r="J55" i="2"/>
  <c r="L55" i="2" s="1"/>
  <c r="M55" i="2" s="1"/>
  <c r="J31" i="2"/>
  <c r="L31" i="2" s="1"/>
  <c r="M31" i="2" s="1"/>
  <c r="L17" i="2"/>
  <c r="M17" i="2" s="1"/>
  <c r="Q102" i="2"/>
  <c r="L102" i="2"/>
  <c r="M102" i="2" s="1"/>
  <c r="L229" i="2"/>
  <c r="M229" i="2" s="1"/>
  <c r="Q229" i="2"/>
  <c r="L145" i="2"/>
  <c r="M145" i="2" s="1"/>
  <c r="J121" i="2"/>
  <c r="L121" i="2" s="1"/>
  <c r="M121" i="2" s="1"/>
  <c r="J67" i="2"/>
  <c r="L67" i="2" s="1"/>
  <c r="M67" i="2" s="1"/>
  <c r="Q96" i="2"/>
  <c r="J23" i="2"/>
  <c r="C52" i="1"/>
  <c r="C47" i="1"/>
  <c r="J129" i="2"/>
  <c r="L129" i="2" s="1"/>
  <c r="M129" i="2" s="1"/>
  <c r="J141" i="2"/>
  <c r="L141" i="2" s="1"/>
  <c r="M141" i="2" s="1"/>
  <c r="Q90" i="2"/>
  <c r="R13" i="2"/>
  <c r="Q66" i="2"/>
  <c r="R11" i="2"/>
  <c r="L213" i="2"/>
  <c r="M213" i="2" s="1"/>
  <c r="Q213" i="2"/>
  <c r="J63" i="2"/>
  <c r="L63" i="2" s="1"/>
  <c r="M63" i="2" s="1"/>
  <c r="J99" i="2"/>
  <c r="L99" i="2" s="1"/>
  <c r="M99" i="2" s="1"/>
  <c r="L43" i="2"/>
  <c r="M43" i="2" s="1"/>
  <c r="J96" i="2"/>
  <c r="L96" i="2" s="1"/>
  <c r="M96" i="2" s="1"/>
  <c r="R23" i="2" l="1"/>
  <c r="Q162" i="2"/>
  <c r="J162" i="2"/>
  <c r="L162" i="2" s="1"/>
  <c r="M162" i="2" s="1"/>
  <c r="Q19" i="2" s="1"/>
  <c r="R19" i="2"/>
  <c r="J236" i="2"/>
  <c r="L236" i="2" s="1"/>
  <c r="M236" i="2" s="1"/>
  <c r="Q234" i="2"/>
  <c r="Q11" i="2"/>
  <c r="J234" i="2"/>
  <c r="L234" i="2" s="1"/>
  <c r="M234" i="2" s="1"/>
  <c r="Q8" i="2"/>
  <c r="Q139" i="2"/>
  <c r="R17" i="2"/>
  <c r="J187" i="2"/>
  <c r="I246" i="2"/>
  <c r="Q127" i="2"/>
  <c r="Q208" i="2"/>
  <c r="J127" i="2"/>
  <c r="L127" i="2" s="1"/>
  <c r="M127" i="2" s="1"/>
  <c r="Q16" i="2" s="1"/>
  <c r="Q211" i="2"/>
  <c r="L211" i="2"/>
  <c r="M211" i="2" s="1"/>
  <c r="J208" i="2"/>
  <c r="L208" i="2" s="1"/>
  <c r="M208" i="2" s="1"/>
  <c r="Q210" i="2"/>
  <c r="L210" i="2"/>
  <c r="M210" i="2" s="1"/>
  <c r="Q23" i="2" s="1"/>
  <c r="Q187" i="2"/>
  <c r="L187" i="2"/>
  <c r="M187" i="2" s="1"/>
  <c r="Q21" i="2" s="1"/>
  <c r="J139" i="2"/>
  <c r="L139" i="2" s="1"/>
  <c r="M139" i="2" s="1"/>
  <c r="Q17" i="2" s="1"/>
  <c r="Q13" i="2"/>
  <c r="Q223" i="2"/>
  <c r="L223" i="2"/>
  <c r="M223" i="2" s="1"/>
  <c r="Q235" i="2"/>
  <c r="L235" i="2"/>
  <c r="M235" i="2" s="1"/>
  <c r="Q220" i="2"/>
  <c r="L220" i="2"/>
  <c r="M220" i="2" s="1"/>
  <c r="L19" i="2"/>
  <c r="Q18" i="2"/>
  <c r="Q222" i="2"/>
  <c r="Q199" i="2"/>
  <c r="R22" i="2"/>
  <c r="R24" i="2"/>
  <c r="R25" i="2"/>
  <c r="Q20" i="2"/>
  <c r="J222" i="2"/>
  <c r="L222" i="2" s="1"/>
  <c r="M222" i="2" s="1"/>
  <c r="Q103" i="2"/>
  <c r="J199" i="2"/>
  <c r="L199" i="2" s="1"/>
  <c r="M199" i="2" s="1"/>
  <c r="R16" i="2"/>
  <c r="R7" i="2"/>
  <c r="J103" i="2"/>
  <c r="L103" i="2" s="1"/>
  <c r="M103" i="2" s="1"/>
  <c r="Q14" i="2" s="1"/>
  <c r="Q200" i="2"/>
  <c r="L200" i="2"/>
  <c r="M200" i="2" s="1"/>
  <c r="C53" i="1"/>
  <c r="C55" i="1" s="1"/>
  <c r="Q15" i="2"/>
  <c r="Q12" i="2"/>
  <c r="Q10" i="2"/>
  <c r="Q9" i="2"/>
  <c r="L23" i="2"/>
  <c r="M23" i="2" s="1"/>
  <c r="Q25" i="2" l="1"/>
  <c r="J246" i="2"/>
  <c r="Q22" i="2"/>
  <c r="Q24" i="2"/>
  <c r="Q7" i="2"/>
  <c r="C254" i="2"/>
  <c r="M246" i="2"/>
  <c r="Q6" i="2"/>
  <c r="O6" i="2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N6" i="2"/>
  <c r="L246" i="2"/>
  <c r="N7" i="2" l="1"/>
  <c r="C249" i="2"/>
  <c r="C250" i="2"/>
  <c r="C68" i="1"/>
  <c r="B254" i="2"/>
  <c r="C64" i="1" l="1"/>
  <c r="B250" i="2"/>
  <c r="C63" i="1"/>
  <c r="B249" i="2"/>
  <c r="N8" i="2"/>
  <c r="P7" i="2"/>
  <c r="P8" i="2" l="1"/>
  <c r="N9" i="2"/>
  <c r="N10" i="2" l="1"/>
  <c r="P9" i="2"/>
  <c r="N11" i="2" l="1"/>
  <c r="P10" i="2"/>
  <c r="P11" i="2" l="1"/>
  <c r="N12" i="2"/>
  <c r="N13" i="2" l="1"/>
  <c r="P12" i="2"/>
  <c r="N14" i="2" l="1"/>
  <c r="P13" i="2"/>
  <c r="P14" i="2" l="1"/>
  <c r="N15" i="2"/>
  <c r="N16" i="2" l="1"/>
  <c r="P15" i="2"/>
  <c r="N17" i="2" l="1"/>
  <c r="P16" i="2"/>
  <c r="P17" i="2" l="1"/>
  <c r="N18" i="2"/>
  <c r="P18" i="2" l="1"/>
  <c r="N19" i="2"/>
  <c r="N20" i="2" l="1"/>
  <c r="P19" i="2"/>
  <c r="P20" i="2" l="1"/>
  <c r="N21" i="2"/>
  <c r="N22" i="2" l="1"/>
  <c r="P21" i="2"/>
  <c r="P22" i="2" l="1"/>
  <c r="N23" i="2"/>
  <c r="P23" i="2" l="1"/>
  <c r="N24" i="2"/>
  <c r="N25" i="2" l="1"/>
  <c r="P24" i="2"/>
  <c r="P25" i="2" l="1"/>
  <c r="N26" i="2"/>
  <c r="N27" i="2" l="1"/>
  <c r="P26" i="2"/>
  <c r="N28" i="2" l="1"/>
  <c r="P27" i="2"/>
  <c r="P28" i="2" l="1"/>
  <c r="N29" i="2"/>
  <c r="N30" i="2" l="1"/>
  <c r="P29" i="2"/>
  <c r="N31" i="2" l="1"/>
  <c r="P30" i="2"/>
  <c r="N32" i="2" l="1"/>
  <c r="P31" i="2"/>
  <c r="P32" i="2" l="1"/>
  <c r="N33" i="2"/>
  <c r="N34" i="2" l="1"/>
  <c r="P33" i="2"/>
  <c r="N35" i="2" l="1"/>
  <c r="P34" i="2"/>
  <c r="N36" i="2" l="1"/>
  <c r="P35" i="2"/>
  <c r="N37" i="2" l="1"/>
  <c r="P36" i="2"/>
  <c r="N38" i="2" l="1"/>
  <c r="P37" i="2"/>
  <c r="N39" i="2" l="1"/>
  <c r="P38" i="2"/>
  <c r="N40" i="2" l="1"/>
  <c r="P39" i="2"/>
  <c r="N41" i="2" l="1"/>
  <c r="P40" i="2"/>
  <c r="N42" i="2" l="1"/>
  <c r="P41" i="2"/>
  <c r="N43" i="2" l="1"/>
  <c r="P42" i="2"/>
  <c r="N44" i="2" l="1"/>
  <c r="P43" i="2"/>
  <c r="N45" i="2" l="1"/>
  <c r="P44" i="2"/>
  <c r="N46" i="2" l="1"/>
  <c r="P45" i="2"/>
  <c r="N47" i="2" l="1"/>
  <c r="P46" i="2"/>
  <c r="N48" i="2" l="1"/>
  <c r="P47" i="2"/>
  <c r="N49" i="2" l="1"/>
  <c r="P48" i="2"/>
  <c r="N50" i="2" l="1"/>
  <c r="P49" i="2"/>
  <c r="N51" i="2" l="1"/>
  <c r="P50" i="2"/>
  <c r="N52" i="2" l="1"/>
  <c r="P51" i="2"/>
  <c r="N53" i="2" l="1"/>
  <c r="P52" i="2"/>
  <c r="N54" i="2" l="1"/>
  <c r="P53" i="2"/>
  <c r="N55" i="2" l="1"/>
  <c r="P54" i="2"/>
  <c r="N56" i="2" l="1"/>
  <c r="P55" i="2"/>
  <c r="N57" i="2" l="1"/>
  <c r="P56" i="2"/>
  <c r="N58" i="2" l="1"/>
  <c r="P57" i="2"/>
  <c r="N59" i="2" l="1"/>
  <c r="P58" i="2"/>
  <c r="N60" i="2" l="1"/>
  <c r="P59" i="2"/>
  <c r="N61" i="2" l="1"/>
  <c r="P60" i="2"/>
  <c r="N62" i="2" l="1"/>
  <c r="P61" i="2"/>
  <c r="N63" i="2" l="1"/>
  <c r="P62" i="2"/>
  <c r="N64" i="2" l="1"/>
  <c r="P63" i="2"/>
  <c r="N65" i="2" l="1"/>
  <c r="P64" i="2"/>
  <c r="N66" i="2" l="1"/>
  <c r="P65" i="2"/>
  <c r="N67" i="2" l="1"/>
  <c r="P66" i="2"/>
  <c r="N68" i="2" l="1"/>
  <c r="P67" i="2"/>
  <c r="N69" i="2" l="1"/>
  <c r="P68" i="2"/>
  <c r="N70" i="2" l="1"/>
  <c r="P69" i="2"/>
  <c r="N71" i="2" l="1"/>
  <c r="P70" i="2"/>
  <c r="N72" i="2" l="1"/>
  <c r="P71" i="2"/>
  <c r="N73" i="2" l="1"/>
  <c r="P72" i="2"/>
  <c r="N74" i="2" l="1"/>
  <c r="P73" i="2"/>
  <c r="N75" i="2" l="1"/>
  <c r="P74" i="2"/>
  <c r="N76" i="2" l="1"/>
  <c r="P75" i="2"/>
  <c r="N77" i="2" l="1"/>
  <c r="P76" i="2"/>
  <c r="N78" i="2" l="1"/>
  <c r="P77" i="2"/>
  <c r="N79" i="2" l="1"/>
  <c r="P78" i="2"/>
  <c r="N80" i="2" l="1"/>
  <c r="P79" i="2"/>
  <c r="N81" i="2" l="1"/>
  <c r="P80" i="2"/>
  <c r="N82" i="2" l="1"/>
  <c r="P81" i="2"/>
  <c r="N83" i="2" l="1"/>
  <c r="P82" i="2"/>
  <c r="N84" i="2" l="1"/>
  <c r="P83" i="2"/>
  <c r="N85" i="2" l="1"/>
  <c r="P84" i="2"/>
  <c r="N86" i="2" l="1"/>
  <c r="P85" i="2"/>
  <c r="N87" i="2" l="1"/>
  <c r="P86" i="2"/>
  <c r="N88" i="2" l="1"/>
  <c r="P87" i="2"/>
  <c r="N89" i="2" l="1"/>
  <c r="P88" i="2"/>
  <c r="N90" i="2" l="1"/>
  <c r="P89" i="2"/>
  <c r="N91" i="2" l="1"/>
  <c r="P90" i="2"/>
  <c r="N92" i="2" l="1"/>
  <c r="P91" i="2"/>
  <c r="P92" i="2" l="1"/>
  <c r="N93" i="2"/>
  <c r="N94" i="2" l="1"/>
  <c r="P93" i="2"/>
  <c r="N95" i="2" l="1"/>
  <c r="P94" i="2"/>
  <c r="P95" i="2" l="1"/>
  <c r="N96" i="2"/>
  <c r="P96" i="2" l="1"/>
  <c r="N97" i="2"/>
  <c r="N98" i="2" l="1"/>
  <c r="P97" i="2"/>
  <c r="N99" i="2" l="1"/>
  <c r="P98" i="2"/>
  <c r="P99" i="2" l="1"/>
  <c r="N100" i="2"/>
  <c r="P100" i="2" l="1"/>
  <c r="N101" i="2"/>
  <c r="N102" i="2" l="1"/>
  <c r="P101" i="2"/>
  <c r="N103" i="2" l="1"/>
  <c r="P102" i="2"/>
  <c r="N104" i="2" l="1"/>
  <c r="P103" i="2"/>
  <c r="N105" i="2" l="1"/>
  <c r="P104" i="2"/>
  <c r="N106" i="2" l="1"/>
  <c r="P105" i="2"/>
  <c r="N107" i="2" l="1"/>
  <c r="P106" i="2"/>
  <c r="N108" i="2" l="1"/>
  <c r="P107" i="2"/>
  <c r="N109" i="2" l="1"/>
  <c r="P108" i="2"/>
  <c r="P109" i="2" l="1"/>
  <c r="N110" i="2"/>
  <c r="N111" i="2" l="1"/>
  <c r="P110" i="2"/>
  <c r="N112" i="2" l="1"/>
  <c r="P111" i="2"/>
  <c r="N113" i="2" l="1"/>
  <c r="P112" i="2"/>
  <c r="P113" i="2" l="1"/>
  <c r="N114" i="2"/>
  <c r="N115" i="2" l="1"/>
  <c r="P114" i="2"/>
  <c r="N116" i="2" l="1"/>
  <c r="P115" i="2"/>
  <c r="N117" i="2" l="1"/>
  <c r="P116" i="2"/>
  <c r="P117" i="2" l="1"/>
  <c r="N118" i="2"/>
  <c r="N119" i="2" l="1"/>
  <c r="P118" i="2"/>
  <c r="N120" i="2" l="1"/>
  <c r="P119" i="2"/>
  <c r="N121" i="2" l="1"/>
  <c r="P120" i="2"/>
  <c r="P121" i="2" l="1"/>
  <c r="N122" i="2"/>
  <c r="N123" i="2" l="1"/>
  <c r="P122" i="2"/>
  <c r="N124" i="2" l="1"/>
  <c r="P123" i="2"/>
  <c r="N125" i="2" l="1"/>
  <c r="P124" i="2"/>
  <c r="P125" i="2" l="1"/>
  <c r="N126" i="2"/>
  <c r="N127" i="2" l="1"/>
  <c r="P126" i="2"/>
  <c r="N128" i="2" l="1"/>
  <c r="P127" i="2"/>
  <c r="N129" i="2" l="1"/>
  <c r="P128" i="2"/>
  <c r="P129" i="2" l="1"/>
  <c r="N130" i="2"/>
  <c r="N131" i="2" l="1"/>
  <c r="P130" i="2"/>
  <c r="N132" i="2" l="1"/>
  <c r="P131" i="2"/>
  <c r="N133" i="2" l="1"/>
  <c r="P132" i="2"/>
  <c r="P133" i="2" l="1"/>
  <c r="N134" i="2"/>
  <c r="N135" i="2" l="1"/>
  <c r="P134" i="2"/>
  <c r="N136" i="2" l="1"/>
  <c r="P135" i="2"/>
  <c r="N137" i="2" l="1"/>
  <c r="P136" i="2"/>
  <c r="P137" i="2" l="1"/>
  <c r="N138" i="2"/>
  <c r="N139" i="2" l="1"/>
  <c r="P138" i="2"/>
  <c r="N140" i="2" l="1"/>
  <c r="P139" i="2"/>
  <c r="N141" i="2" l="1"/>
  <c r="P140" i="2"/>
  <c r="P141" i="2" l="1"/>
  <c r="N142" i="2"/>
  <c r="N143" i="2" l="1"/>
  <c r="P142" i="2"/>
  <c r="N144" i="2" l="1"/>
  <c r="P143" i="2"/>
  <c r="N145" i="2" l="1"/>
  <c r="P144" i="2"/>
  <c r="P145" i="2" l="1"/>
  <c r="N146" i="2"/>
  <c r="N147" i="2" l="1"/>
  <c r="P146" i="2"/>
  <c r="N148" i="2" l="1"/>
  <c r="P147" i="2"/>
  <c r="N149" i="2" l="1"/>
  <c r="P148" i="2"/>
  <c r="P149" i="2" l="1"/>
  <c r="N150" i="2"/>
  <c r="N151" i="2" l="1"/>
  <c r="P150" i="2"/>
  <c r="N152" i="2" l="1"/>
  <c r="P151" i="2"/>
  <c r="N153" i="2" l="1"/>
  <c r="P152" i="2"/>
  <c r="P153" i="2" l="1"/>
  <c r="N154" i="2"/>
  <c r="N155" i="2" l="1"/>
  <c r="P154" i="2"/>
  <c r="N156" i="2" l="1"/>
  <c r="P155" i="2"/>
  <c r="N157" i="2" l="1"/>
  <c r="P156" i="2"/>
  <c r="P157" i="2" l="1"/>
  <c r="N158" i="2"/>
  <c r="N159" i="2" l="1"/>
  <c r="P158" i="2"/>
  <c r="N160" i="2" l="1"/>
  <c r="P159" i="2"/>
  <c r="N161" i="2" l="1"/>
  <c r="P160" i="2"/>
  <c r="P161" i="2" l="1"/>
  <c r="N162" i="2"/>
  <c r="N163" i="2" l="1"/>
  <c r="P162" i="2"/>
  <c r="N164" i="2" l="1"/>
  <c r="P163" i="2"/>
  <c r="N165" i="2" l="1"/>
  <c r="P164" i="2"/>
  <c r="P165" i="2" l="1"/>
  <c r="N166" i="2"/>
  <c r="P166" i="2" l="1"/>
  <c r="N167" i="2"/>
  <c r="P167" i="2" l="1"/>
  <c r="N168" i="2"/>
  <c r="P168" i="2" l="1"/>
  <c r="N169" i="2"/>
  <c r="P169" i="2" l="1"/>
  <c r="N170" i="2"/>
  <c r="P170" i="2" l="1"/>
  <c r="N171" i="2"/>
  <c r="P171" i="2" l="1"/>
  <c r="N172" i="2"/>
  <c r="P172" i="2" l="1"/>
  <c r="N173" i="2"/>
  <c r="P173" i="2" l="1"/>
  <c r="N174" i="2"/>
  <c r="P174" i="2" l="1"/>
  <c r="N175" i="2"/>
  <c r="P175" i="2" l="1"/>
  <c r="N176" i="2"/>
  <c r="P176" i="2" l="1"/>
  <c r="N177" i="2"/>
  <c r="P177" i="2" l="1"/>
  <c r="N178" i="2"/>
  <c r="P178" i="2" l="1"/>
  <c r="N179" i="2"/>
  <c r="P179" i="2" l="1"/>
  <c r="N180" i="2"/>
  <c r="N181" i="2" l="1"/>
  <c r="P180" i="2"/>
  <c r="P181" i="2" l="1"/>
  <c r="N182" i="2"/>
  <c r="P182" i="2" l="1"/>
  <c r="N183" i="2"/>
  <c r="N184" i="2" l="1"/>
  <c r="P183" i="2"/>
  <c r="N185" i="2" l="1"/>
  <c r="P184" i="2"/>
  <c r="P185" i="2" l="1"/>
  <c r="N186" i="2"/>
  <c r="P186" i="2" l="1"/>
  <c r="N187" i="2"/>
  <c r="N188" i="2" l="1"/>
  <c r="P187" i="2"/>
  <c r="N189" i="2" l="1"/>
  <c r="P188" i="2"/>
  <c r="P189" i="2" l="1"/>
  <c r="N190" i="2"/>
  <c r="P190" i="2" l="1"/>
  <c r="N191" i="2"/>
  <c r="N192" i="2" l="1"/>
  <c r="P191" i="2"/>
  <c r="N193" i="2" l="1"/>
  <c r="P192" i="2"/>
  <c r="P193" i="2" l="1"/>
  <c r="N194" i="2"/>
  <c r="P194" i="2" l="1"/>
  <c r="N195" i="2"/>
  <c r="N196" i="2" l="1"/>
  <c r="P195" i="2"/>
  <c r="N197" i="2" l="1"/>
  <c r="P196" i="2"/>
  <c r="P197" i="2" l="1"/>
  <c r="N198" i="2"/>
  <c r="P198" i="2" l="1"/>
  <c r="N199" i="2"/>
  <c r="N200" i="2" l="1"/>
  <c r="P199" i="2"/>
  <c r="N201" i="2" l="1"/>
  <c r="P200" i="2"/>
  <c r="P201" i="2" l="1"/>
  <c r="N202" i="2"/>
  <c r="P202" i="2" l="1"/>
  <c r="N203" i="2"/>
  <c r="N204" i="2" l="1"/>
  <c r="P203" i="2"/>
  <c r="N205" i="2" l="1"/>
  <c r="P204" i="2"/>
  <c r="P205" i="2" l="1"/>
  <c r="N206" i="2"/>
  <c r="P206" i="2" l="1"/>
  <c r="N207" i="2"/>
  <c r="N208" i="2" l="1"/>
  <c r="P207" i="2"/>
  <c r="N209" i="2" l="1"/>
  <c r="P208" i="2"/>
  <c r="P209" i="2" l="1"/>
  <c r="N210" i="2"/>
  <c r="P210" i="2" l="1"/>
  <c r="N211" i="2"/>
  <c r="N212" i="2" l="1"/>
  <c r="P211" i="2"/>
  <c r="N213" i="2" l="1"/>
  <c r="P212" i="2"/>
  <c r="P213" i="2" l="1"/>
  <c r="N214" i="2"/>
  <c r="P214" i="2" l="1"/>
  <c r="N215" i="2"/>
  <c r="N216" i="2" l="1"/>
  <c r="P215" i="2"/>
  <c r="N217" i="2" l="1"/>
  <c r="P216" i="2"/>
  <c r="P217" i="2" l="1"/>
  <c r="N218" i="2"/>
  <c r="P218" i="2" l="1"/>
  <c r="N219" i="2"/>
  <c r="N220" i="2" l="1"/>
  <c r="P219" i="2"/>
  <c r="N221" i="2" l="1"/>
  <c r="P220" i="2"/>
  <c r="P221" i="2" l="1"/>
  <c r="N222" i="2"/>
  <c r="P222" i="2" l="1"/>
  <c r="N223" i="2"/>
  <c r="N224" i="2" l="1"/>
  <c r="P223" i="2"/>
  <c r="N225" i="2" l="1"/>
  <c r="P224" i="2"/>
  <c r="P225" i="2" l="1"/>
  <c r="N226" i="2"/>
  <c r="P226" i="2" l="1"/>
  <c r="N227" i="2"/>
  <c r="N228" i="2" l="1"/>
  <c r="P227" i="2"/>
  <c r="N229" i="2" l="1"/>
  <c r="P228" i="2"/>
  <c r="P229" i="2" l="1"/>
  <c r="N230" i="2"/>
  <c r="P230" i="2" l="1"/>
  <c r="N231" i="2"/>
  <c r="N232" i="2" l="1"/>
  <c r="P231" i="2"/>
  <c r="N233" i="2" l="1"/>
  <c r="P232" i="2"/>
  <c r="P233" i="2" l="1"/>
  <c r="N234" i="2"/>
  <c r="P234" i="2" l="1"/>
  <c r="N235" i="2"/>
  <c r="N236" i="2" l="1"/>
  <c r="P235" i="2"/>
  <c r="N237" i="2" l="1"/>
  <c r="P236" i="2"/>
  <c r="P237" i="2" l="1"/>
  <c r="N238" i="2"/>
  <c r="P238" i="2" l="1"/>
  <c r="N239" i="2"/>
  <c r="N240" i="2" l="1"/>
  <c r="P239" i="2"/>
  <c r="N241" i="2" l="1"/>
  <c r="P240" i="2"/>
  <c r="P241" i="2" l="1"/>
  <c r="N242" i="2"/>
  <c r="P242" i="2" l="1"/>
  <c r="N243" i="2"/>
  <c r="N244" i="2" l="1"/>
  <c r="P243" i="2"/>
  <c r="N245" i="2" l="1"/>
  <c r="P244" i="2"/>
  <c r="P245" i="2" l="1"/>
  <c r="N246" i="2"/>
  <c r="C253" i="2"/>
  <c r="C251" i="2"/>
  <c r="C65" i="1" l="1"/>
  <c r="C252" i="2"/>
  <c r="B251" i="2"/>
  <c r="C67" i="1"/>
  <c r="B253" i="2"/>
  <c r="C42" i="1"/>
  <c r="C66" i="1" l="1"/>
  <c r="B252" i="2"/>
</calcChain>
</file>

<file path=xl/sharedStrings.xml><?xml version="1.0" encoding="utf-8"?>
<sst xmlns="http://schemas.openxmlformats.org/spreadsheetml/2006/main" count="549" uniqueCount="239">
  <si>
    <t>DIMENSIONADOR DE BESS — LOAD SHIFTING</t>
  </si>
  <si>
    <t>Preencha as células em AZUL. A planilha calcula o número sugerido e todos os indicadores.</t>
  </si>
  <si>
    <t>① ENTRADA: CONSUMO E DIMENSIONAMENTO</t>
  </si>
  <si>
    <t>Consumo médio de ponta desejado</t>
  </si>
  <si>
    <t>kWh/mês</t>
  </si>
  <si>
    <t>Média mensal de energia a deslocar do HP para HFP</t>
  </si>
  <si>
    <t>⟹  Nº sugerido de BESS (calculado)</t>
  </si>
  <si>
    <t>unidades</t>
  </si>
  <si>
    <t>Arredondamento para cima (energia útil 1 BESS = C12 da aba Premissas)</t>
  </si>
  <si>
    <t>✏️  Nº de BESS adotado (você define)</t>
  </si>
  <si>
    <t>⬅ EDITE AQUI: confirme ou altere o número sugerido acima</t>
  </si>
  <si>
    <t>CAPEX total negociado (todos os BESS)</t>
  </si>
  <si>
    <t>R$</t>
  </si>
  <si>
    <t>Valor total com instalação, frete e comissionamento</t>
  </si>
  <si>
    <t>② PARÂMETROS DO EQUIPAMENTO (vinculados à aba Premissas)</t>
  </si>
  <si>
    <t>Potência nominal</t>
  </si>
  <si>
    <t>kW</t>
  </si>
  <si>
    <t>DoD</t>
  </si>
  <si>
    <t>p.u.</t>
  </si>
  <si>
    <t>η BESS round-trip</t>
  </si>
  <si>
    <t>η Elétrica</t>
  </si>
  <si>
    <t>η Operacional</t>
  </si>
  <si>
    <t>Dias úteis/mês</t>
  </si>
  <si>
    <t>dias</t>
  </si>
  <si>
    <t>Energia útil/ciclo</t>
  </si>
  <si>
    <t>kWh/ciclo</t>
  </si>
  <si>
    <t>Energia útil/mês 1 BESS</t>
  </si>
  <si>
    <t>Energia carga/mês 1 BESS</t>
  </si>
  <si>
    <t>③ ENERGIA CALCULADA COM O Nº DE BESS ADOTADO</t>
  </si>
  <si>
    <t>Energia útil/mês (N BESS)</t>
  </si>
  <si>
    <t>N BESS × energia útil 1 BESS</t>
  </si>
  <si>
    <t>Energia carga/mês (N BESS)</t>
  </si>
  <si>
    <t>N BESS × energia de carga 1 BESS</t>
  </si>
  <si>
    <t>Cobertura do consumo desejado</t>
  </si>
  <si>
    <t>Energia disponível ÷ consumo de ponta médio</t>
  </si>
  <si>
    <t>Receita HP ano 1 (base)</t>
  </si>
  <si>
    <t>Energia útil × tarifa HP × 12 meses</t>
  </si>
  <si>
    <t>Custo HFP ano 1 (base)</t>
  </si>
  <si>
    <t>Energia de carga × tarifa HFP × 12 meses</t>
  </si>
  <si>
    <t>Economia bruta ano 1 (base)</t>
  </si>
  <si>
    <t>Receita HP − Custo HFP (sem degradação)</t>
  </si>
  <si>
    <t>O&amp;M ano 1 (N BESS)</t>
  </si>
  <si>
    <t>N BESS × O&amp;M unitário</t>
  </si>
  <si>
    <t>Economia líquida ano 1 (base)</t>
  </si>
  <si>
    <t>Após O&amp;M, sem degradação ainda</t>
  </si>
  <si>
    <t>④ TARIFAS (vinculadas à aba Premissas)</t>
  </si>
  <si>
    <t>Tarifa HFP total</t>
  </si>
  <si>
    <t>Tarifa HP total</t>
  </si>
  <si>
    <t>Delta HP − HFP</t>
  </si>
  <si>
    <t>Reajuste tarifário anual</t>
  </si>
  <si>
    <t>⑥ SISTEMA SOLAR — DIMENSIONAMENTO E ENERGIA</t>
  </si>
  <si>
    <t>Potência solar instalada</t>
  </si>
  <si>
    <t>Vinculado às Premissas</t>
  </si>
  <si>
    <t>Performance Ratio (PR)</t>
  </si>
  <si>
    <t>CAPEX solar total</t>
  </si>
  <si>
    <t>O&amp;M solar ano 1</t>
  </si>
  <si>
    <t>CAPEX solar × % O&amp;M</t>
  </si>
  <si>
    <t>Geração solar média/mês</t>
  </si>
  <si>
    <t>Média dos 12 meses</t>
  </si>
  <si>
    <t>Acumulado Ano 20</t>
  </si>
  <si>
    <t>ALOCAÇÃO DA GERAÇÃO SOLAR (mês médio)</t>
  </si>
  <si>
    <t>Energia necessária p/ carga BESS/mês</t>
  </si>
  <si>
    <t>Solar → carga BESS (MIN)</t>
  </si>
  <si>
    <t>Solar cobre BESS até o limite</t>
  </si>
  <si>
    <t>Solar → excedente para carga</t>
  </si>
  <si>
    <t>Sobra vai para a carga</t>
  </si>
  <si>
    <t>Cobertura solar do BESS</t>
  </si>
  <si>
    <t>% do BESS coberto pelo solar</t>
  </si>
  <si>
    <t>Deficit BESS (complemento rede)</t>
  </si>
  <si>
    <t>Energia ainda necessária da rede</t>
  </si>
  <si>
    <t>ECONOMIA SOLAR ANO 1 (base, sem degradação)</t>
  </si>
  <si>
    <t>Economia excedente solar (HFP)</t>
  </si>
  <si>
    <t>Excedente × HFP × 12</t>
  </si>
  <si>
    <t>Custo HFP evitado (solar→BESS)</t>
  </si>
  <si>
    <t>Solar evita custo de carga da rede</t>
  </si>
  <si>
    <t>Economia solar total ano 1</t>
  </si>
  <si>
    <t>Bruta total</t>
  </si>
  <si>
    <t>Manutenção solar</t>
  </si>
  <si>
    <t>Economia solar líquida ano 1</t>
  </si>
  <si>
    <t>Após O&amp;M solar</t>
  </si>
  <si>
    <t>CAPEX CONSOLIDADO (BESS + SOLAR)</t>
  </si>
  <si>
    <t>CAPEX BESS</t>
  </si>
  <si>
    <t>CAPEX Solar</t>
  </si>
  <si>
    <t>CAPEX Total (BESS + Solar)</t>
  </si>
  <si>
    <t>⑦ INDICADORES FINANCEIROS CONSOLIDADOS (BESS + Solar)</t>
  </si>
  <si>
    <t>VPL (TMA Premissas)</t>
  </si>
  <si>
    <t>TIR (a.a.)</t>
  </si>
  <si>
    <t>Payback (meses)</t>
  </si>
  <si>
    <t>Payback (anos)</t>
  </si>
  <si>
    <t>Economia Total 20 anos (líq.)</t>
  </si>
  <si>
    <t>FLUXO DE CAIXA — MÊS A MÊS — 20 ANOS | N BESS DINÂMICO</t>
  </si>
  <si>
    <t>SOH interpolado mensalmente | Reajuste tarifário anual | Degradação contínua ao longo dos 240 meses</t>
  </si>
  <si>
    <t>Ano</t>
  </si>
  <si>
    <t>Mês</t>
  </si>
  <si>
    <t>SOH
Mês</t>
  </si>
  <si>
    <t>Reajuste
Tarifário</t>
  </si>
  <si>
    <t>Receita HP
(R$)</t>
  </si>
  <si>
    <t>Custo HFP
(R$)</t>
  </si>
  <si>
    <t>O&amp;M
(R$/mês)</t>
  </si>
  <si>
    <t>Geração
Solar (kWh)</t>
  </si>
  <si>
    <t>Solar→
BESS (kWh)</t>
  </si>
  <si>
    <t>Solar→
Exced. (kWh)</t>
  </si>
  <si>
    <t>O&amp;M Solar
(R$/mês)</t>
  </si>
  <si>
    <t>Eco. Bruta
(R$/mês)</t>
  </si>
  <si>
    <t>Eco. Líq.
(R$/mês)</t>
  </si>
  <si>
    <t>Acumulado
(R$)</t>
  </si>
  <si>
    <t>Eco. Acum.
(sem CAPEX)</t>
  </si>
  <si>
    <t>Payback</t>
  </si>
  <si>
    <t>0</t>
  </si>
  <si>
    <t>Invest.</t>
  </si>
  <si>
    <t>Jan</t>
  </si>
  <si>
    <t>""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</si>
  <si>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</si>
  <si>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</si>
  <si>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</si>
  <si>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</si>
  <si>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</si>
  <si>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</si>
  <si>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</si>
  <si>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</si>
  <si>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</si>
  <si>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</si>
  <si>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</si>
  <si>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</t>
  </si>
  <si>
    <t>20 anos</t>
  </si>
  <si>
    <t>INDICADORES FINANCEIROS — AUTOMÁTICOS</t>
  </si>
  <si>
    <t>PREMISSAS — BESS LOAD SHIFTING</t>
  </si>
  <si>
    <t>Azul = input editável | Verde = calculado | Vinculado ao Dimensionador</t>
  </si>
  <si>
    <t>EQUIPAMENTO BESS</t>
  </si>
  <si>
    <t>VALOR</t>
  </si>
  <si>
    <t>UNIDADE</t>
  </si>
  <si>
    <t>Potência BESS</t>
  </si>
  <si>
    <t>Energia útil/ciclo [calc]</t>
  </si>
  <si>
    <t>kWh</t>
  </si>
  <si>
    <t>Energia útil/mês 1 BESS [calc]</t>
  </si>
  <si>
    <t>Energia carga/mês 1 BESS [calc]</t>
  </si>
  <si>
    <t>TARIFAS — MERCADO LIVRE</t>
  </si>
  <si>
    <t>TUSD Fora Ponta</t>
  </si>
  <si>
    <t>R$/kWh</t>
  </si>
  <si>
    <t>TE Fora Ponta ML</t>
  </si>
  <si>
    <t>TUSD Na Ponta</t>
  </si>
  <si>
    <t>TE Na Ponta ML</t>
  </si>
  <si>
    <t>HFP Total [calc]</t>
  </si>
  <si>
    <t>HP Total [calc]</t>
  </si>
  <si>
    <t>Delta HP-HFP [calc]</t>
  </si>
  <si>
    <t>PARÂMETROS FINANCEIROS</t>
  </si>
  <si>
    <t>O&amp;M por BESS/ano</t>
  </si>
  <si>
    <t>R$/ano</t>
  </si>
  <si>
    <t>Reajuste energia</t>
  </si>
  <si>
    <t>% a.a.</t>
  </si>
  <si>
    <t>Reajuste O&amp;M</t>
  </si>
  <si>
    <t>TMA</t>
  </si>
  <si>
    <t>⑤ SISTEMA SOLAR FOTOVOLTAICO</t>
  </si>
  <si>
    <t>Potência instalada (kWp)</t>
  </si>
  <si>
    <t>kWp</t>
  </si>
  <si>
    <t>Input: tamanho do sistema solar</t>
  </si>
  <si>
    <t>Tipicamente 75-82% para sistemas C&amp;I</t>
  </si>
  <si>
    <t>Degradação painéis (a.a.)</t>
  </si>
  <si>
    <t>Tipicamente 0,5% a.a.</t>
  </si>
  <si>
    <t>Equipamentos + instalação + comissionamento</t>
  </si>
  <si>
    <t>O&amp;M solar (% CAPEX/ano)</t>
  </si>
  <si>
    <t>Tipicamente 0,5–1,5% do CAPEX solar/ano</t>
  </si>
  <si>
    <t>O&amp;M solar ano 1 (R$)</t>
  </si>
  <si>
    <t>Energia solar base/dia</t>
  </si>
  <si>
    <t>kWp × PR (sem HSP)</t>
  </si>
  <si>
    <t>IRRADIÂNCIA — HSP MENSAL (h/dia) — preencher com dados CRESESB</t>
  </si>
  <si>
    <t>Janeiro</t>
  </si>
  <si>
    <t>h/dia</t>
  </si>
  <si>
    <t>HSP médio de Janeiro — fonte: CRESESB / PVGIS</t>
  </si>
  <si>
    <t>Fevereiro</t>
  </si>
  <si>
    <t>HSP médio de Fevereiro — fonte: CRESESB / PVGIS</t>
  </si>
  <si>
    <t>Março</t>
  </si>
  <si>
    <t>HSP médio de Março — fonte: CRESESB / PVGIS</t>
  </si>
  <si>
    <t>Abril</t>
  </si>
  <si>
    <t>HSP médio de Abril — fonte: CRESESB / PVGIS</t>
  </si>
  <si>
    <t>Maio</t>
  </si>
  <si>
    <t>HSP médio de Maio — fonte: CRESESB / PVGIS</t>
  </si>
  <si>
    <t>Junho</t>
  </si>
  <si>
    <t>HSP médio de Junho — fonte: CRESESB / PVGIS</t>
  </si>
  <si>
    <t>Julho</t>
  </si>
  <si>
    <t>HSP médio de Julho — fonte: CRESESB / PVGIS</t>
  </si>
  <si>
    <t>Agosto</t>
  </si>
  <si>
    <t>HSP médio de Agosto — fonte: CRESESB / PVGIS</t>
  </si>
  <si>
    <t>Setembro</t>
  </si>
  <si>
    <t>HSP médio de Setembro — fonte: CRESESB / PVGIS</t>
  </si>
  <si>
    <t>Outubro</t>
  </si>
  <si>
    <t>HSP médio de Outubro — fonte: CRESESB / PVGIS</t>
  </si>
  <si>
    <t>Novembro</t>
  </si>
  <si>
    <t>HSP médio de Novembro — fonte: CRESESB / PVGIS</t>
  </si>
  <si>
    <t>Dezembro</t>
  </si>
  <si>
    <t>HSP médio de Dezembro — fonte: CRESESB / PVGIS</t>
  </si>
  <si>
    <t>HSP médio anual [calc]</t>
  </si>
  <si>
    <t>GERAÇÃO SOLAR ESTIMADA (kWh/mês) — calculada automaticamente</t>
  </si>
  <si>
    <t>Geração total anual [calc]</t>
  </si>
  <si>
    <t>kWh/ano</t>
  </si>
  <si>
    <t>Geração média mensal [calc]</t>
  </si>
  <si>
    <t>CURVA SOH HUAWEI (1 ciclo/dia, DoD 100%)</t>
  </si>
  <si>
    <t>SOH</t>
  </si>
  <si>
    <t>Ano 0</t>
  </si>
  <si>
    <t>Ano 1</t>
  </si>
  <si>
    <t>1</t>
  </si>
  <si>
    <t>Ano 2</t>
  </si>
  <si>
    <t>2</t>
  </si>
  <si>
    <t>Ano 3</t>
  </si>
  <si>
    <t>3</t>
  </si>
  <si>
    <t>Ano 4</t>
  </si>
  <si>
    <t>4</t>
  </si>
  <si>
    <t>Ano 5</t>
  </si>
  <si>
    <t>5</t>
  </si>
  <si>
    <t>Ano 6</t>
  </si>
  <si>
    <t>6</t>
  </si>
  <si>
    <t>Ano 7</t>
  </si>
  <si>
    <t>7</t>
  </si>
  <si>
    <t>Ano 8</t>
  </si>
  <si>
    <t>8</t>
  </si>
  <si>
    <t>Ano 9</t>
  </si>
  <si>
    <t>9</t>
  </si>
  <si>
    <t>Ano 10</t>
  </si>
  <si>
    <t>10</t>
  </si>
  <si>
    <t>Ano 11</t>
  </si>
  <si>
    <t>11</t>
  </si>
  <si>
    <t>Ano 12</t>
  </si>
  <si>
    <t>12</t>
  </si>
  <si>
    <t>Ano 13</t>
  </si>
  <si>
    <t>13</t>
  </si>
  <si>
    <t>Ano 14</t>
  </si>
  <si>
    <t>14</t>
  </si>
  <si>
    <t>Ano 15</t>
  </si>
  <si>
    <t>15</t>
  </si>
  <si>
    <t>Ano 16</t>
  </si>
  <si>
    <t>16</t>
  </si>
  <si>
    <t>Ano 17</t>
  </si>
  <si>
    <t>17</t>
  </si>
  <si>
    <t>Ano 18</t>
  </si>
  <si>
    <t>18</t>
  </si>
  <si>
    <t>Ano 19</t>
  </si>
  <si>
    <t>19</t>
  </si>
  <si>
    <t>Ano 20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</si>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</sst>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,##0.00&quot; kWh/mês&quot;"/>
    <numFmt numFmtId="165" formatCode="0&quot; unidades&quot;"/>
    <numFmt numFmtId="166" formatCode="&quot;R$&quot;#,##0.00"/>
    <numFmt numFmtId="167" formatCode="0&quot; kW&quot;"/>
    <numFmt numFmtId="168" formatCode="0&quot; dias&quot;"/>
    <numFmt numFmtId="169" formatCode="#,##0.00&quot; kWh&quot;"/>
    <numFmt numFmtId="170" formatCode="0.0%"/>
    <numFmt numFmtId="171" formatCode="&quot;R$&quot;#,##0.000000&quot; /kWh&quot;"/>
    <numFmt numFmtId="172" formatCode="0.00%&quot; a.a.&quot;"/>
    <numFmt numFmtId="173" formatCode="#,##0.00&quot; kWp&quot;"/>
    <numFmt numFmtId="174" formatCode="&quot;R$&quot;#,##0"/>
    <numFmt numFmtId="175" formatCode="0.0&quot; meses&quot;"/>
    <numFmt numFmtId="176" formatCode="0.00&quot; anos&quot;"/>
    <numFmt numFmtId="177" formatCode="0.0000"/>
    <numFmt numFmtId="178" formatCode="0.000"/>
    <numFmt numFmtId="179" formatCode="#,##0.0"/>
    <numFmt numFmtId="180" formatCode="&quot;R$&quot;#,##0.000000"/>
    <numFmt numFmtId="181" formatCode="#,##0.00&quot; kWh/dia&quot;"/>
    <numFmt numFmtId="182" formatCode="0.00&quot; h/dia&quot;"/>
    <numFmt numFmtId="183" formatCode="#,##0.00&quot; kWh/ano&quot;"/>
    <numFmt numFmtId="184" formatCode="0.00000"/>
  </numFmts>
  <fonts count="3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000000"/>
      <name val="Calibri"/>
      <charset val="1"/>
    </font>
    <font>
      <b/>
      <sz val="11"/>
      <color rgb="FF0000CD"/>
      <name val="Calibri"/>
      <charset val="1"/>
    </font>
    <font>
      <i/>
      <sz val="8"/>
      <color rgb="FF888888"/>
      <name val="Calibri"/>
      <charset val="1"/>
    </font>
    <font>
      <b/>
      <sz val="11"/>
      <color rgb="FF006100"/>
      <name val="Calibri"/>
      <charset val="1"/>
    </font>
    <font>
      <i/>
      <sz val="8"/>
      <color rgb="FF1F3864"/>
      <name val="Calibri"/>
      <charset val="1"/>
    </font>
    <font>
      <b/>
      <sz val="10"/>
      <color rgb="FFED7D31"/>
      <name val="Calibri"/>
      <charset val="1"/>
    </font>
    <font>
      <b/>
      <sz val="13"/>
      <color rgb="FF7B3F00"/>
      <name val="Calibri"/>
      <charset val="1"/>
    </font>
    <font>
      <b/>
      <i/>
      <sz val="9"/>
      <color rgb="FFED7D31"/>
      <name val="Calibri"/>
      <charset val="1"/>
    </font>
    <font>
      <sz val="10"/>
      <color rgb="FF006100"/>
      <name val="Calibri"/>
      <charset val="1"/>
    </font>
    <font>
      <b/>
      <sz val="10"/>
      <color rgb="FF006100"/>
      <name val="Calibri"/>
      <charset val="1"/>
    </font>
    <font>
      <b/>
      <sz val="10"/>
      <color rgb="FFFFFFFF"/>
      <name val="Calibri"/>
      <charset val="1"/>
    </font>
    <font>
      <b/>
      <sz val="12"/>
      <color rgb="FF006100"/>
      <name val="Calibri"/>
      <charset val="1"/>
    </font>
    <font>
      <b/>
      <sz val="10"/>
      <color rgb="FFFF8C00"/>
      <name val="Calibri"/>
      <charset val="1"/>
    </font>
    <font>
      <b/>
      <sz val="10"/>
      <color rgb="FF000000"/>
      <name val="Calibri"/>
      <charset val="1"/>
    </font>
    <font>
      <b/>
      <sz val="10"/>
      <color rgb="FF70AD47"/>
      <name val="Calibri"/>
      <charset val="1"/>
    </font>
    <font>
      <b/>
      <sz val="13"/>
      <color rgb="FFFFFFFF"/>
      <name val="Calibri"/>
      <charset val="1"/>
    </font>
    <font>
      <b/>
      <sz val="8"/>
      <color rgb="FFFFFFFF"/>
      <name val="Calibri"/>
      <charset val="1"/>
    </font>
    <font>
      <b/>
      <sz val="9"/>
      <color rgb="FF8B0000"/>
      <name val="Calibri"/>
      <charset val="1"/>
    </font>
    <font>
      <b/>
      <sz val="8"/>
      <color rgb="FF1F3864"/>
      <name val="Calibri"/>
      <charset val="1"/>
    </font>
    <font>
      <sz val="8"/>
      <color rgb="FF444444"/>
      <name val="Calibri"/>
      <charset val="1"/>
    </font>
    <font>
      <sz val="8"/>
      <color rgb="FF000000"/>
      <name val="Calibri"/>
      <charset val="1"/>
    </font>
    <font>
      <sz val="9"/>
      <color rgb="FF000000"/>
      <name val="Calibri"/>
      <charset val="1"/>
    </font>
    <font>
      <sz val="8"/>
      <color rgb="FF1F3864"/>
      <name val="Calibri"/>
      <charset val="1"/>
    </font>
    <font>
      <b/>
      <sz val="8"/>
      <color rgb="FF000000"/>
      <name val="Calibri"/>
      <charset val="1"/>
    </font>
    <font>
      <b/>
      <sz val="11"/>
      <color rgb="FFFFFFFF"/>
      <name val="Calibri"/>
      <charset val="1"/>
    </font>
    <font>
      <b/>
      <sz val="10"/>
      <color rgb="FF444444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3CD"/>
      </patternFill>
    </fill>
    <fill>
      <patternFill patternType="solid">
        <fgColor rgb="FFFFC000"/>
        <bgColor rgb="FFFFCC00"/>
      </patternFill>
    </fill>
    <fill>
      <patternFill patternType="solid">
        <fgColor rgb="FFFF8C00"/>
        <bgColor rgb="FFED7D31"/>
      </patternFill>
    </fill>
    <fill>
      <patternFill patternType="solid">
        <fgColor rgb="FFFFF3CD"/>
        <bgColor rgb="FFFCE4D6"/>
      </patternFill>
    </fill>
    <fill>
      <patternFill patternType="solid">
        <fgColor rgb="FF70AD47"/>
        <bgColor rgb="FF888888"/>
      </patternFill>
    </fill>
    <fill>
      <patternFill patternType="solid">
        <fgColor rgb="FFED7D31"/>
        <bgColor rgb="FFFF8C00"/>
      </patternFill>
    </fill>
    <fill>
      <patternFill patternType="solid">
        <fgColor rgb="FFFFCC00"/>
        <bgColor rgb="FFFFC000"/>
      </patternFill>
    </fill>
    <fill>
      <patternFill patternType="solid">
        <fgColor rgb="FFEBF3FB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4" fillId="2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76" fontId="15" fillId="7" borderId="1" xfId="0" applyNumberFormat="1" applyFont="1" applyFill="1" applyBorder="1" applyAlignment="1">
      <alignment horizontal="right" vertical="center"/>
    </xf>
    <xf numFmtId="175" fontId="15" fillId="7" borderId="1" xfId="0" applyNumberFormat="1" applyFont="1" applyFill="1" applyBorder="1" applyAlignment="1">
      <alignment horizontal="right" vertical="center"/>
    </xf>
    <xf numFmtId="170" fontId="15" fillId="7" borderId="1" xfId="0" applyNumberFormat="1" applyFont="1" applyFill="1" applyBorder="1" applyAlignment="1">
      <alignment horizontal="right" vertical="center"/>
    </xf>
    <xf numFmtId="174" fontId="15" fillId="7" borderId="1" xfId="0" applyNumberFormat="1" applyFont="1" applyFill="1" applyBorder="1" applyAlignment="1">
      <alignment horizontal="right" vertical="center"/>
    </xf>
    <xf numFmtId="0" fontId="28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65" fontId="10" fillId="9" borderId="3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66" fontId="5" fillId="6" borderId="2" xfId="0" applyNumberFormat="1" applyFont="1" applyFill="1" applyBorder="1" applyAlignment="1">
      <alignment horizontal="right" vertical="center"/>
    </xf>
    <xf numFmtId="167" fontId="12" fillId="7" borderId="1" xfId="0" applyNumberFormat="1" applyFont="1" applyFill="1" applyBorder="1" applyAlignment="1">
      <alignment horizontal="right" vertical="center"/>
    </xf>
    <xf numFmtId="10" fontId="12" fillId="7" borderId="1" xfId="0" applyNumberFormat="1" applyFont="1" applyFill="1" applyBorder="1" applyAlignment="1">
      <alignment horizontal="right" vertical="center"/>
    </xf>
    <xf numFmtId="168" fontId="12" fillId="7" borderId="1" xfId="0" applyNumberFormat="1" applyFont="1" applyFill="1" applyBorder="1" applyAlignment="1">
      <alignment horizontal="right" vertical="center"/>
    </xf>
    <xf numFmtId="169" fontId="12" fillId="7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70" fontId="13" fillId="7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right" vertical="center"/>
    </xf>
    <xf numFmtId="171" fontId="12" fillId="7" borderId="1" xfId="0" applyNumberFormat="1" applyFont="1" applyFill="1" applyBorder="1" applyAlignment="1">
      <alignment horizontal="right" vertical="center"/>
    </xf>
    <xf numFmtId="172" fontId="12" fillId="7" borderId="1" xfId="0" applyNumberFormat="1" applyFont="1" applyFill="1" applyBorder="1" applyAlignment="1">
      <alignment horizontal="right" vertical="center"/>
    </xf>
    <xf numFmtId="173" fontId="13" fillId="7" borderId="1" xfId="0" applyNumberFormat="1" applyFont="1" applyFill="1" applyBorder="1" applyAlignment="1">
      <alignment horizontal="right" vertical="center"/>
    </xf>
    <xf numFmtId="10" fontId="13" fillId="7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74" fontId="15" fillId="7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17" fillId="7" borderId="1" xfId="0" applyFont="1" applyFill="1" applyBorder="1" applyAlignment="1">
      <alignment horizontal="lef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6" fontId="14" fillId="2" borderId="1" xfId="0" applyNumberFormat="1" applyFont="1" applyFill="1" applyBorder="1" applyAlignment="1">
      <alignment horizontal="right" vertical="center"/>
    </xf>
    <xf numFmtId="170" fontId="15" fillId="7" borderId="1" xfId="0" applyNumberFormat="1" applyFont="1" applyFill="1" applyBorder="1" applyAlignment="1">
      <alignment horizontal="right" vertical="center"/>
    </xf>
    <xf numFmtId="175" fontId="15" fillId="7" borderId="1" xfId="0" applyNumberFormat="1" applyFont="1" applyFill="1" applyBorder="1" applyAlignment="1">
      <alignment horizontal="right" vertical="center"/>
    </xf>
    <xf numFmtId="176" fontId="15" fillId="7" borderId="1" xfId="0" applyNumberFormat="1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174" fontId="21" fillId="14" borderId="1" xfId="0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77" fontId="23" fillId="6" borderId="1" xfId="0" applyNumberFormat="1" applyFont="1" applyFill="1" applyBorder="1" applyAlignment="1">
      <alignment horizontal="right" vertical="center"/>
    </xf>
    <xf numFmtId="178" fontId="23" fillId="6" borderId="1" xfId="0" applyNumberFormat="1" applyFont="1" applyFill="1" applyBorder="1" applyAlignment="1">
      <alignment horizontal="right" vertical="center"/>
    </xf>
    <xf numFmtId="174" fontId="24" fillId="6" borderId="1" xfId="0" applyNumberFormat="1" applyFont="1" applyFill="1" applyBorder="1" applyAlignment="1">
      <alignment horizontal="right" vertical="center"/>
    </xf>
    <xf numFmtId="174" fontId="25" fillId="6" borderId="1" xfId="0" applyNumberFormat="1" applyFont="1" applyFill="1" applyBorder="1" applyAlignment="1">
      <alignment horizontal="right" vertical="center"/>
    </xf>
    <xf numFmtId="179" fontId="24" fillId="6" borderId="1" xfId="0" applyNumberFormat="1" applyFont="1" applyFill="1" applyBorder="1" applyAlignment="1">
      <alignment horizontal="right" vertical="center"/>
    </xf>
    <xf numFmtId="49" fontId="24" fillId="6" borderId="1" xfId="0" applyNumberFormat="1" applyFont="1" applyFill="1" applyBorder="1" applyAlignment="1">
      <alignment horizontal="right" vertical="center"/>
    </xf>
    <xf numFmtId="174" fontId="0" fillId="0" borderId="0" xfId="0" applyNumberFormat="1"/>
    <xf numFmtId="0" fontId="26" fillId="6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77" fontId="23" fillId="15" borderId="1" xfId="0" applyNumberFormat="1" applyFont="1" applyFill="1" applyBorder="1" applyAlignment="1">
      <alignment horizontal="right" vertical="center"/>
    </xf>
    <xf numFmtId="178" fontId="23" fillId="15" borderId="1" xfId="0" applyNumberFormat="1" applyFont="1" applyFill="1" applyBorder="1" applyAlignment="1">
      <alignment horizontal="right" vertical="center"/>
    </xf>
    <xf numFmtId="174" fontId="24" fillId="15" borderId="1" xfId="0" applyNumberFormat="1" applyFont="1" applyFill="1" applyBorder="1" applyAlignment="1">
      <alignment horizontal="right" vertical="center"/>
    </xf>
    <xf numFmtId="174" fontId="25" fillId="15" borderId="1" xfId="0" applyNumberFormat="1" applyFont="1" applyFill="1" applyBorder="1" applyAlignment="1">
      <alignment horizontal="right" vertical="center"/>
    </xf>
    <xf numFmtId="179" fontId="27" fillId="15" borderId="1" xfId="0" applyNumberFormat="1" applyFont="1" applyFill="1" applyBorder="1" applyAlignment="1">
      <alignment horizontal="right" vertical="center"/>
    </xf>
    <xf numFmtId="179" fontId="24" fillId="15" borderId="1" xfId="0" applyNumberFormat="1" applyFont="1" applyFill="1" applyBorder="1" applyAlignment="1">
      <alignment horizontal="right" vertical="center"/>
    </xf>
    <xf numFmtId="174" fontId="27" fillId="15" borderId="1" xfId="0" applyNumberFormat="1" applyFont="1" applyFill="1" applyBorder="1" applyAlignment="1">
      <alignment horizontal="right" vertical="center"/>
    </xf>
    <xf numFmtId="49" fontId="27" fillId="15" borderId="1" xfId="0" applyNumberFormat="1" applyFont="1" applyFill="1" applyBorder="1" applyAlignment="1">
      <alignment horizontal="right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177" fontId="23" fillId="5" borderId="1" xfId="0" applyNumberFormat="1" applyFont="1" applyFill="1" applyBorder="1" applyAlignment="1">
      <alignment horizontal="right" vertical="center"/>
    </xf>
    <xf numFmtId="178" fontId="23" fillId="5" borderId="1" xfId="0" applyNumberFormat="1" applyFont="1" applyFill="1" applyBorder="1" applyAlignment="1">
      <alignment horizontal="right" vertical="center"/>
    </xf>
    <xf numFmtId="174" fontId="24" fillId="5" borderId="1" xfId="0" applyNumberFormat="1" applyFont="1" applyFill="1" applyBorder="1" applyAlignment="1">
      <alignment horizontal="right" vertical="center"/>
    </xf>
    <xf numFmtId="174" fontId="25" fillId="5" borderId="1" xfId="0" applyNumberFormat="1" applyFont="1" applyFill="1" applyBorder="1" applyAlignment="1">
      <alignment horizontal="right" vertical="center"/>
    </xf>
    <xf numFmtId="179" fontId="24" fillId="5" borderId="1" xfId="0" applyNumberFormat="1" applyFont="1" applyFill="1" applyBorder="1" applyAlignment="1">
      <alignment horizontal="right" vertical="center"/>
    </xf>
    <xf numFmtId="49" fontId="24" fillId="5" borderId="1" xfId="0" applyNumberFormat="1" applyFont="1" applyFill="1" applyBorder="1" applyAlignment="1">
      <alignment horizontal="right" vertical="center"/>
    </xf>
    <xf numFmtId="0" fontId="26" fillId="5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77" fontId="23" fillId="4" borderId="1" xfId="0" applyNumberFormat="1" applyFont="1" applyFill="1" applyBorder="1" applyAlignment="1">
      <alignment horizontal="right" vertical="center"/>
    </xf>
    <xf numFmtId="178" fontId="23" fillId="4" borderId="1" xfId="0" applyNumberFormat="1" applyFont="1" applyFill="1" applyBorder="1" applyAlignment="1">
      <alignment horizontal="right" vertical="center"/>
    </xf>
    <xf numFmtId="174" fontId="24" fillId="4" borderId="1" xfId="0" applyNumberFormat="1" applyFont="1" applyFill="1" applyBorder="1" applyAlignment="1">
      <alignment horizontal="right" vertical="center"/>
    </xf>
    <xf numFmtId="174" fontId="25" fillId="4" borderId="1" xfId="0" applyNumberFormat="1" applyFont="1" applyFill="1" applyBorder="1" applyAlignment="1">
      <alignment horizontal="right" vertical="center"/>
    </xf>
    <xf numFmtId="179" fontId="27" fillId="4" borderId="1" xfId="0" applyNumberFormat="1" applyFont="1" applyFill="1" applyBorder="1" applyAlignment="1">
      <alignment horizontal="right" vertical="center"/>
    </xf>
    <xf numFmtId="179" fontId="24" fillId="4" borderId="1" xfId="0" applyNumberFormat="1" applyFont="1" applyFill="1" applyBorder="1" applyAlignment="1">
      <alignment horizontal="right" vertical="center"/>
    </xf>
    <xf numFmtId="174" fontId="27" fillId="4" borderId="1" xfId="0" applyNumberFormat="1" applyFont="1" applyFill="1" applyBorder="1" applyAlignment="1">
      <alignment horizontal="right" vertical="center"/>
    </xf>
    <xf numFmtId="49" fontId="27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74" fontId="2" fillId="2" borderId="1" xfId="0" applyNumberFormat="1" applyFont="1" applyFill="1" applyBorder="1" applyAlignment="1">
      <alignment horizontal="right" vertical="center"/>
    </xf>
    <xf numFmtId="174" fontId="14" fillId="2" borderId="1" xfId="0" applyNumberFormat="1" applyFont="1" applyFill="1" applyBorder="1" applyAlignment="1">
      <alignment horizontal="left" vertical="center"/>
    </xf>
    <xf numFmtId="170" fontId="14" fillId="2" borderId="1" xfId="0" applyNumberFormat="1" applyFont="1" applyFill="1" applyBorder="1" applyAlignment="1">
      <alignment horizontal="left" vertical="center"/>
    </xf>
    <xf numFmtId="175" fontId="14" fillId="2" borderId="1" xfId="0" applyNumberFormat="1" applyFont="1" applyFill="1" applyBorder="1" applyAlignment="1">
      <alignment horizontal="left" vertical="center"/>
    </xf>
    <xf numFmtId="176" fontId="1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right" vertical="center"/>
    </xf>
    <xf numFmtId="177" fontId="5" fillId="6" borderId="2" xfId="0" applyNumberFormat="1" applyFont="1" applyFill="1" applyBorder="1" applyAlignment="1">
      <alignment horizontal="right" vertical="center"/>
    </xf>
    <xf numFmtId="4" fontId="13" fillId="7" borderId="1" xfId="0" applyNumberFormat="1" applyFont="1" applyFill="1" applyBorder="1" applyAlignment="1">
      <alignment horizontal="right" vertical="center"/>
    </xf>
    <xf numFmtId="180" fontId="5" fillId="6" borderId="2" xfId="0" applyNumberFormat="1" applyFont="1" applyFill="1" applyBorder="1" applyAlignment="1">
      <alignment horizontal="right" vertical="center"/>
    </xf>
    <xf numFmtId="180" fontId="13" fillId="7" borderId="1" xfId="0" applyNumberFormat="1" applyFont="1" applyFill="1" applyBorder="1" applyAlignment="1">
      <alignment horizontal="right" vertical="center"/>
    </xf>
    <xf numFmtId="10" fontId="5" fillId="6" borderId="2" xfId="0" applyNumberFormat="1" applyFont="1" applyFill="1" applyBorder="1" applyAlignment="1">
      <alignment horizontal="right" vertical="center"/>
    </xf>
    <xf numFmtId="173" fontId="5" fillId="6" borderId="2" xfId="0" applyNumberFormat="1" applyFont="1" applyFill="1" applyBorder="1" applyAlignment="1">
      <alignment horizontal="right" vertical="center"/>
    </xf>
    <xf numFmtId="181" fontId="13" fillId="7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/>
    </xf>
    <xf numFmtId="182" fontId="5" fillId="6" borderId="2" xfId="0" applyNumberFormat="1" applyFont="1" applyFill="1" applyBorder="1" applyAlignment="1">
      <alignment horizontal="right" vertical="center"/>
    </xf>
    <xf numFmtId="182" fontId="13" fillId="7" borderId="1" xfId="0" applyNumberFormat="1" applyFont="1" applyFill="1" applyBorder="1" applyAlignment="1">
      <alignment horizontal="right" vertical="center"/>
    </xf>
    <xf numFmtId="169" fontId="13" fillId="7" borderId="1" xfId="0" applyNumberFormat="1" applyFont="1" applyFill="1" applyBorder="1" applyAlignment="1">
      <alignment horizontal="right" vertical="center"/>
    </xf>
    <xf numFmtId="183" fontId="13" fillId="7" borderId="1" xfId="0" applyNumberFormat="1" applyFont="1" applyFill="1" applyBorder="1" applyAlignment="1">
      <alignment horizontal="right" vertical="center"/>
    </xf>
    <xf numFmtId="184" fontId="5" fillId="6" borderId="2" xfId="0" applyNumberFormat="1" applyFont="1" applyFill="1" applyBorder="1" applyAlignment="1">
      <alignment horizontal="right" vertical="center"/>
    </xf>
    <xf numFmtId="0" fontId="2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C000"/>
      <rgbColor rgb="FFFF00FF"/>
      <rgbColor rgb="FF00FFFF"/>
      <rgbColor rgb="FF8B0000"/>
      <rgbColor rgb="FF0061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8C00"/>
      <rgbColor rgb="FFED7D31"/>
      <rgbColor rgb="FF666699"/>
      <rgbColor rgb="FF70AD47"/>
      <rgbColor rgb="FF1F3864"/>
      <rgbColor rgb="FF339966"/>
      <rgbColor rgb="FF003300"/>
      <rgbColor rgb="FF333300"/>
      <rgbColor rgb="FF7B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8"/>
  <sheetViews>
    <sheetView showGridLines="0" tabSelected="1" topLeftCell="A33" zoomScale="70" zoomScaleNormal="70" workbookViewId="0">
      <selection activeCell="C66" sqref="C66"/>
    </sheetView>
  </sheetViews>
  <sheetFormatPr defaultColWidth="8.6328125" defaultRowHeight="14.5" x14ac:dyDescent="0.35"/>
  <cols>
    <col min="1" max="1" width="3" customWidth="1"/>
    <col min="2" max="2" width="36" customWidth="1"/>
    <col min="3" max="3" width="18" customWidth="1"/>
    <col min="4" max="4" width="14" customWidth="1"/>
    <col min="5" max="5" width="45.08984375" customWidth="1"/>
    <col min="6" max="6" width="3" hidden="1" customWidth="1"/>
  </cols>
  <sheetData>
    <row r="1" spans="1:6" ht="24" customHeight="1" x14ac:dyDescent="0.35">
      <c r="A1" s="6" t="s">
        <v>0</v>
      </c>
      <c r="B1" s="6"/>
      <c r="C1" s="6"/>
      <c r="D1" s="6"/>
      <c r="E1" s="6"/>
      <c r="F1" s="6"/>
    </row>
    <row r="2" spans="1:6" ht="18" customHeight="1" x14ac:dyDescent="0.35">
      <c r="A2" s="12" t="s">
        <v>1</v>
      </c>
      <c r="B2" s="12"/>
      <c r="C2" s="12"/>
      <c r="D2" s="12"/>
      <c r="E2" s="12"/>
      <c r="F2" s="12"/>
    </row>
    <row r="4" spans="1:6" ht="19.5" customHeight="1" x14ac:dyDescent="0.35">
      <c r="A4" s="5" t="s">
        <v>2</v>
      </c>
      <c r="B4" s="5"/>
      <c r="C4" s="5"/>
      <c r="D4" s="5"/>
      <c r="E4" s="5"/>
    </row>
    <row r="5" spans="1:6" ht="19.5" customHeight="1" x14ac:dyDescent="0.35">
      <c r="A5" s="14"/>
      <c r="B5" s="14" t="s">
        <v>3</v>
      </c>
      <c r="C5" s="15">
        <v>6900</v>
      </c>
      <c r="D5" s="16" t="s">
        <v>4</v>
      </c>
      <c r="E5" s="17" t="s">
        <v>5</v>
      </c>
    </row>
    <row r="6" spans="1:6" ht="21.75" customHeight="1" x14ac:dyDescent="0.35">
      <c r="A6" s="18"/>
      <c r="B6" s="19" t="s">
        <v>6</v>
      </c>
      <c r="C6" s="20">
        <f>CEILING(C5/(Premissas!$C$12),1)</f>
        <v>2</v>
      </c>
      <c r="D6" s="18" t="s">
        <v>7</v>
      </c>
      <c r="E6" s="21" t="s">
        <v>8</v>
      </c>
    </row>
    <row r="7" spans="1:6" ht="21.75" customHeight="1" x14ac:dyDescent="0.35">
      <c r="A7" s="22"/>
      <c r="B7" s="23" t="s">
        <v>9</v>
      </c>
      <c r="C7" s="24">
        <v>2</v>
      </c>
      <c r="D7" s="22" t="s">
        <v>7</v>
      </c>
      <c r="E7" s="25" t="s">
        <v>10</v>
      </c>
    </row>
    <row r="8" spans="1:6" ht="19.5" customHeight="1" x14ac:dyDescent="0.35">
      <c r="A8" s="14"/>
      <c r="B8" s="14" t="s">
        <v>11</v>
      </c>
      <c r="C8" s="26">
        <v>1100000</v>
      </c>
      <c r="D8" s="16" t="s">
        <v>12</v>
      </c>
      <c r="E8" s="17" t="s">
        <v>13</v>
      </c>
    </row>
    <row r="10" spans="1:6" ht="18" customHeight="1" x14ac:dyDescent="0.35">
      <c r="A10" s="5" t="s">
        <v>14</v>
      </c>
      <c r="B10" s="5"/>
      <c r="C10" s="5"/>
      <c r="D10" s="5"/>
      <c r="E10" s="5"/>
    </row>
    <row r="11" spans="1:6" ht="15.75" customHeight="1" x14ac:dyDescent="0.35">
      <c r="A11" s="14"/>
      <c r="B11" s="14" t="s">
        <v>15</v>
      </c>
      <c r="C11" s="27">
        <f>Premissas!C5</f>
        <v>241</v>
      </c>
      <c r="D11" s="16" t="s">
        <v>16</v>
      </c>
    </row>
    <row r="12" spans="1:6" ht="15.75" customHeight="1" x14ac:dyDescent="0.35">
      <c r="A12" s="14"/>
      <c r="B12" s="14" t="s">
        <v>17</v>
      </c>
      <c r="C12" s="28">
        <f>Premissas!C6</f>
        <v>1</v>
      </c>
      <c r="D12" s="16" t="s">
        <v>18</v>
      </c>
    </row>
    <row r="13" spans="1:6" ht="15.75" customHeight="1" x14ac:dyDescent="0.35">
      <c r="A13" s="14"/>
      <c r="B13" s="14" t="s">
        <v>19</v>
      </c>
      <c r="C13" s="28">
        <f>Premissas!C7</f>
        <v>0.9556</v>
      </c>
      <c r="D13" s="16" t="s">
        <v>18</v>
      </c>
    </row>
    <row r="14" spans="1:6" ht="15.75" customHeight="1" x14ac:dyDescent="0.35">
      <c r="A14" s="14"/>
      <c r="B14" s="14" t="s">
        <v>20</v>
      </c>
      <c r="C14" s="28">
        <f>Premissas!C8</f>
        <v>0.98</v>
      </c>
      <c r="D14" s="16" t="s">
        <v>18</v>
      </c>
    </row>
    <row r="15" spans="1:6" ht="15.75" customHeight="1" x14ac:dyDescent="0.35">
      <c r="A15" s="14"/>
      <c r="B15" s="14" t="s">
        <v>21</v>
      </c>
      <c r="C15" s="28">
        <f>Premissas!C9</f>
        <v>0.99</v>
      </c>
      <c r="D15" s="16" t="s">
        <v>18</v>
      </c>
    </row>
    <row r="16" spans="1:6" ht="15.75" customHeight="1" x14ac:dyDescent="0.35">
      <c r="A16" s="14"/>
      <c r="B16" s="14" t="s">
        <v>22</v>
      </c>
      <c r="C16" s="29">
        <f>Premissas!C10</f>
        <v>21</v>
      </c>
      <c r="D16" s="16" t="s">
        <v>23</v>
      </c>
    </row>
    <row r="17" spans="1:5" ht="15.75" customHeight="1" x14ac:dyDescent="0.35">
      <c r="A17" s="14"/>
      <c r="B17" s="14" t="s">
        <v>24</v>
      </c>
      <c r="C17" s="30">
        <f>Premissas!C11</f>
        <v>223.43667191999998</v>
      </c>
      <c r="D17" s="16" t="s">
        <v>25</v>
      </c>
    </row>
    <row r="18" spans="1:5" ht="15.75" customHeight="1" x14ac:dyDescent="0.35">
      <c r="A18" s="14"/>
      <c r="B18" s="14" t="s">
        <v>26</v>
      </c>
      <c r="C18" s="30">
        <f>Premissas!C12</f>
        <v>3450.0000811147079</v>
      </c>
      <c r="D18" s="16" t="s">
        <v>4</v>
      </c>
    </row>
    <row r="19" spans="1:5" ht="15.75" customHeight="1" x14ac:dyDescent="0.35">
      <c r="A19" s="14"/>
      <c r="B19" s="14" t="s">
        <v>27</v>
      </c>
      <c r="C19" s="30">
        <f>Premissas!C13</f>
        <v>4013.6942154285757</v>
      </c>
      <c r="D19" s="16" t="s">
        <v>4</v>
      </c>
    </row>
    <row r="21" spans="1:5" ht="18" customHeight="1" x14ac:dyDescent="0.35">
      <c r="A21" s="5" t="s">
        <v>28</v>
      </c>
      <c r="B21" s="5"/>
      <c r="C21" s="5"/>
      <c r="D21" s="5"/>
      <c r="E21" s="5"/>
    </row>
    <row r="22" spans="1:5" ht="16.5" customHeight="1" x14ac:dyDescent="0.35">
      <c r="A22" s="14"/>
      <c r="B22" s="16" t="s">
        <v>29</v>
      </c>
      <c r="C22" s="31">
        <f>$C$7*Premissas!$C$12</f>
        <v>6900.0001622294158</v>
      </c>
      <c r="D22" s="16"/>
      <c r="E22" s="17" t="s">
        <v>30</v>
      </c>
    </row>
    <row r="23" spans="1:5" ht="16.5" customHeight="1" x14ac:dyDescent="0.35">
      <c r="A23" s="14"/>
      <c r="B23" s="16" t="s">
        <v>31</v>
      </c>
      <c r="C23" s="31">
        <f>$C$7*Premissas!$C$13</f>
        <v>8027.3884308571514</v>
      </c>
      <c r="D23" s="16"/>
      <c r="E23" s="17" t="s">
        <v>32</v>
      </c>
    </row>
    <row r="24" spans="1:5" ht="16.5" customHeight="1" x14ac:dyDescent="0.35">
      <c r="A24" s="14"/>
      <c r="B24" s="18" t="s">
        <v>33</v>
      </c>
      <c r="C24" s="32">
        <f>C22/C5</f>
        <v>1.0000000235115096</v>
      </c>
      <c r="D24" s="16"/>
      <c r="E24" s="17" t="s">
        <v>34</v>
      </c>
    </row>
    <row r="25" spans="1:5" ht="16.5" customHeight="1" x14ac:dyDescent="0.35">
      <c r="A25" s="14"/>
      <c r="B25" s="16" t="s">
        <v>35</v>
      </c>
      <c r="C25" s="33">
        <f>C22*Premissas!$C$21*12</f>
        <v>222663.69523515948</v>
      </c>
      <c r="D25" s="16"/>
      <c r="E25" s="17" t="s">
        <v>36</v>
      </c>
    </row>
    <row r="26" spans="1:5" ht="16.5" customHeight="1" x14ac:dyDescent="0.35">
      <c r="A26" s="14"/>
      <c r="B26" s="16" t="s">
        <v>37</v>
      </c>
      <c r="C26" s="33">
        <f>C23*Premissas!$C$20*12</f>
        <v>60298.081403474447</v>
      </c>
      <c r="D26" s="16"/>
      <c r="E26" s="17" t="s">
        <v>38</v>
      </c>
    </row>
    <row r="27" spans="1:5" ht="16.5" customHeight="1" x14ac:dyDescent="0.35">
      <c r="A27" s="14"/>
      <c r="B27" s="16" t="s">
        <v>39</v>
      </c>
      <c r="C27" s="33">
        <f>C25-C26</f>
        <v>162365.61383168504</v>
      </c>
      <c r="D27" s="16"/>
      <c r="E27" s="17" t="s">
        <v>40</v>
      </c>
    </row>
    <row r="28" spans="1:5" ht="16.5" customHeight="1" x14ac:dyDescent="0.35">
      <c r="A28" s="14"/>
      <c r="B28" s="16" t="s">
        <v>41</v>
      </c>
      <c r="C28" s="33">
        <f>$C$7*Premissas!$C$25</f>
        <v>22000</v>
      </c>
      <c r="D28" s="16"/>
      <c r="E28" s="17" t="s">
        <v>42</v>
      </c>
    </row>
    <row r="29" spans="1:5" ht="16.5" customHeight="1" x14ac:dyDescent="0.35">
      <c r="A29" s="14"/>
      <c r="B29" s="18" t="s">
        <v>43</v>
      </c>
      <c r="C29" s="34">
        <f>C27-C28</f>
        <v>140365.61383168504</v>
      </c>
      <c r="D29" s="16"/>
      <c r="E29" s="17" t="s">
        <v>44</v>
      </c>
    </row>
    <row r="31" spans="1:5" ht="18" customHeight="1" x14ac:dyDescent="0.35">
      <c r="A31" s="5" t="s">
        <v>45</v>
      </c>
      <c r="B31" s="5"/>
      <c r="C31" s="5"/>
      <c r="D31" s="5"/>
      <c r="E31" s="5"/>
    </row>
    <row r="32" spans="1:5" ht="15.75" customHeight="1" x14ac:dyDescent="0.35">
      <c r="A32" s="14"/>
      <c r="B32" s="14" t="s">
        <v>46</v>
      </c>
      <c r="C32" s="35">
        <f>Premissas!$C$20</f>
        <v>0.62596200000000002</v>
      </c>
      <c r="D32" s="16"/>
    </row>
    <row r="33" spans="1:5" ht="15.75" customHeight="1" x14ac:dyDescent="0.35">
      <c r="A33" s="14"/>
      <c r="B33" s="14" t="s">
        <v>47</v>
      </c>
      <c r="C33" s="35">
        <f>Premissas!$C$21</f>
        <v>2.6891750000000001</v>
      </c>
      <c r="D33" s="16"/>
    </row>
    <row r="34" spans="1:5" ht="15.75" customHeight="1" x14ac:dyDescent="0.35">
      <c r="A34" s="14"/>
      <c r="B34" s="14" t="s">
        <v>48</v>
      </c>
      <c r="C34" s="35">
        <f>Premissas!$C$22</f>
        <v>2.0632130000000002</v>
      </c>
      <c r="D34" s="16"/>
    </row>
    <row r="35" spans="1:5" ht="15.75" customHeight="1" x14ac:dyDescent="0.35">
      <c r="A35" s="14"/>
      <c r="B35" s="14" t="s">
        <v>49</v>
      </c>
      <c r="C35" s="36">
        <f>Premissas!$C$26</f>
        <v>0.08</v>
      </c>
      <c r="D35" s="16"/>
    </row>
    <row r="36" spans="1:5" ht="19.5" customHeight="1" x14ac:dyDescent="0.35">
      <c r="A36" s="4" t="s">
        <v>50</v>
      </c>
      <c r="B36" s="4"/>
      <c r="C36" s="4"/>
      <c r="D36" s="4"/>
      <c r="E36" s="4"/>
    </row>
    <row r="37" spans="1:5" ht="18" customHeight="1" x14ac:dyDescent="0.35">
      <c r="A37" s="14"/>
      <c r="B37" s="14" t="s">
        <v>51</v>
      </c>
      <c r="C37" s="37">
        <f>Premissas!$C$30</f>
        <v>475</v>
      </c>
      <c r="D37" s="14"/>
      <c r="E37" s="17" t="s">
        <v>52</v>
      </c>
    </row>
    <row r="38" spans="1:5" ht="18" customHeight="1" x14ac:dyDescent="0.35">
      <c r="A38" s="14"/>
      <c r="B38" s="14" t="s">
        <v>53</v>
      </c>
      <c r="C38" s="38">
        <f>Premissas!$C$31</f>
        <v>0.75</v>
      </c>
      <c r="D38" s="14"/>
      <c r="E38" s="17" t="s">
        <v>52</v>
      </c>
    </row>
    <row r="39" spans="1:5" ht="18" customHeight="1" x14ac:dyDescent="0.35">
      <c r="A39" s="14"/>
      <c r="B39" s="14" t="s">
        <v>54</v>
      </c>
      <c r="C39" s="34">
        <f>Premissas!$C$33</f>
        <v>1187500</v>
      </c>
      <c r="D39" s="14"/>
      <c r="E39" s="17" t="s">
        <v>52</v>
      </c>
    </row>
    <row r="40" spans="1:5" ht="18" customHeight="1" x14ac:dyDescent="0.35">
      <c r="A40" s="14"/>
      <c r="B40" s="14" t="s">
        <v>55</v>
      </c>
      <c r="C40" s="34">
        <f>Premissas!$C$35</f>
        <v>11875</v>
      </c>
      <c r="D40" s="14"/>
      <c r="E40" s="17" t="s">
        <v>56</v>
      </c>
    </row>
    <row r="41" spans="1:5" ht="18" customHeight="1" x14ac:dyDescent="0.35">
      <c r="A41" s="14"/>
      <c r="B41" s="14" t="s">
        <v>57</v>
      </c>
      <c r="C41" s="39">
        <f>Premissas!$C$65</f>
        <v>54179.6875</v>
      </c>
      <c r="D41" s="14"/>
      <c r="E41" s="17" t="s">
        <v>58</v>
      </c>
    </row>
    <row r="42" spans="1:5" ht="19.5" customHeight="1" x14ac:dyDescent="0.35">
      <c r="A42" s="18"/>
      <c r="B42" s="19" t="s">
        <v>59</v>
      </c>
      <c r="C42" s="40">
        <f>'Fluxo 20 Anos'!C253</f>
        <v>20025677.480300386</v>
      </c>
      <c r="D42" s="18"/>
    </row>
    <row r="43" spans="1:5" ht="19.5" customHeight="1" x14ac:dyDescent="0.35">
      <c r="A43" s="3" t="s">
        <v>60</v>
      </c>
      <c r="B43" s="3"/>
      <c r="C43" s="3"/>
      <c r="D43" s="3"/>
      <c r="E43" s="3"/>
    </row>
    <row r="44" spans="1:5" ht="18" customHeight="1" x14ac:dyDescent="0.35">
      <c r="A44" s="14"/>
      <c r="B44" s="14" t="s">
        <v>61</v>
      </c>
      <c r="C44" s="41">
        <f>$C$7*Premissas!$C$13</f>
        <v>8027.3884308571514</v>
      </c>
      <c r="D44" s="14"/>
      <c r="E44" s="17" t="s">
        <v>32</v>
      </c>
    </row>
    <row r="45" spans="1:5" ht="18" customHeight="1" x14ac:dyDescent="0.35">
      <c r="A45" s="18"/>
      <c r="B45" s="42" t="s">
        <v>62</v>
      </c>
      <c r="C45" s="39">
        <f>MIN(C41,C44)</f>
        <v>8027.3884308571514</v>
      </c>
      <c r="D45" s="18"/>
      <c r="E45" s="17" t="s">
        <v>63</v>
      </c>
    </row>
    <row r="46" spans="1:5" ht="18" customHeight="1" x14ac:dyDescent="0.35">
      <c r="A46" s="18"/>
      <c r="B46" s="42" t="s">
        <v>64</v>
      </c>
      <c r="C46" s="39">
        <f>MAX(0,C41-C45)</f>
        <v>46152.299069142849</v>
      </c>
      <c r="D46" s="18"/>
      <c r="E46" s="17" t="s">
        <v>65</v>
      </c>
    </row>
    <row r="47" spans="1:5" ht="18" customHeight="1" x14ac:dyDescent="0.35">
      <c r="A47" s="18"/>
      <c r="B47" s="42" t="s">
        <v>66</v>
      </c>
      <c r="C47" s="32">
        <f>IFERROR(C45/C44,0)</f>
        <v>1</v>
      </c>
      <c r="D47" s="18"/>
      <c r="E47" s="17" t="s">
        <v>67</v>
      </c>
    </row>
    <row r="48" spans="1:5" ht="18" customHeight="1" x14ac:dyDescent="0.35">
      <c r="A48" s="14"/>
      <c r="B48" s="14" t="s">
        <v>68</v>
      </c>
      <c r="C48" s="41">
        <f>MAX(0,C44-C45)</f>
        <v>0</v>
      </c>
      <c r="D48" s="14"/>
      <c r="E48" s="17" t="s">
        <v>69</v>
      </c>
    </row>
    <row r="50" spans="1:5" ht="19.5" customHeight="1" x14ac:dyDescent="0.35">
      <c r="A50" s="2" t="s">
        <v>70</v>
      </c>
      <c r="B50" s="2"/>
      <c r="C50" s="2"/>
      <c r="D50" s="2"/>
      <c r="E50" s="2"/>
    </row>
    <row r="51" spans="1:5" ht="18" customHeight="1" x14ac:dyDescent="0.35">
      <c r="A51" s="14"/>
      <c r="B51" s="14" t="s">
        <v>71</v>
      </c>
      <c r="C51" s="43">
        <f>C46*Premissas!$C$20*12</f>
        <v>346675.02515902556</v>
      </c>
      <c r="D51" s="14"/>
      <c r="E51" s="17" t="s">
        <v>72</v>
      </c>
    </row>
    <row r="52" spans="1:5" ht="18" customHeight="1" x14ac:dyDescent="0.35">
      <c r="A52" s="14"/>
      <c r="B52" s="14" t="s">
        <v>73</v>
      </c>
      <c r="C52" s="43">
        <f>C45*Premissas!$C$20*12</f>
        <v>60298.081403474447</v>
      </c>
      <c r="D52" s="14"/>
      <c r="E52" s="17" t="s">
        <v>74</v>
      </c>
    </row>
    <row r="53" spans="1:5" ht="18" customHeight="1" x14ac:dyDescent="0.35">
      <c r="A53" s="18"/>
      <c r="B53" s="42" t="s">
        <v>75</v>
      </c>
      <c r="C53" s="34">
        <f>C51+C52</f>
        <v>406973.1065625</v>
      </c>
      <c r="D53" s="18"/>
      <c r="E53" s="17" t="s">
        <v>76</v>
      </c>
    </row>
    <row r="54" spans="1:5" ht="18" customHeight="1" x14ac:dyDescent="0.35">
      <c r="A54" s="14"/>
      <c r="B54" s="14" t="s">
        <v>55</v>
      </c>
      <c r="C54" s="43">
        <f>Premissas!$C$35</f>
        <v>11875</v>
      </c>
      <c r="D54" s="14"/>
      <c r="E54" s="17" t="s">
        <v>77</v>
      </c>
    </row>
    <row r="55" spans="1:5" ht="18" customHeight="1" x14ac:dyDescent="0.35">
      <c r="A55" s="18"/>
      <c r="B55" s="42" t="s">
        <v>78</v>
      </c>
      <c r="C55" s="34">
        <f>C53-C54</f>
        <v>395098.1065625</v>
      </c>
      <c r="D55" s="18"/>
      <c r="E55" s="17" t="s">
        <v>79</v>
      </c>
    </row>
    <row r="57" spans="1:5" ht="19.5" customHeight="1" x14ac:dyDescent="0.35">
      <c r="A57" s="1" t="s">
        <v>80</v>
      </c>
      <c r="B57" s="1"/>
      <c r="C57" s="1"/>
      <c r="D57" s="1"/>
      <c r="E57" s="1"/>
    </row>
    <row r="58" spans="1:5" ht="18" customHeight="1" x14ac:dyDescent="0.35">
      <c r="A58" s="14"/>
      <c r="B58" s="14" t="s">
        <v>81</v>
      </c>
      <c r="C58" s="43">
        <f>$C$8</f>
        <v>1100000</v>
      </c>
      <c r="D58" s="14"/>
    </row>
    <row r="59" spans="1:5" ht="18" customHeight="1" x14ac:dyDescent="0.35">
      <c r="A59" s="14"/>
      <c r="B59" s="14" t="s">
        <v>82</v>
      </c>
      <c r="C59" s="43">
        <f>Premissas!$C$33</f>
        <v>1187500</v>
      </c>
      <c r="D59" s="14"/>
    </row>
    <row r="60" spans="1:5" ht="18" customHeight="1" x14ac:dyDescent="0.35">
      <c r="A60" s="45"/>
      <c r="B60" s="44" t="s">
        <v>83</v>
      </c>
      <c r="C60" s="46">
        <f>C58+C59</f>
        <v>2287500</v>
      </c>
      <c r="D60" s="45"/>
    </row>
    <row r="62" spans="1:5" ht="19.5" customHeight="1" x14ac:dyDescent="0.35">
      <c r="A62" s="1" t="s">
        <v>84</v>
      </c>
      <c r="B62" s="1"/>
      <c r="C62" s="1"/>
      <c r="D62" s="1"/>
      <c r="E62" s="1"/>
    </row>
    <row r="63" spans="1:5" ht="19.5" customHeight="1" x14ac:dyDescent="0.35">
      <c r="A63" s="18"/>
      <c r="B63" s="19" t="s">
        <v>85</v>
      </c>
      <c r="C63" s="40">
        <f>'Fluxo 20 Anos'!C249</f>
        <v>4187197.99324077</v>
      </c>
      <c r="D63" s="18"/>
    </row>
    <row r="64" spans="1:5" ht="19.5" customHeight="1" x14ac:dyDescent="0.35">
      <c r="A64" s="18"/>
      <c r="B64" s="19" t="s">
        <v>86</v>
      </c>
      <c r="C64" s="47">
        <f>'Fluxo 20 Anos'!C250</f>
        <v>0.29990854150704194</v>
      </c>
      <c r="D64" s="18"/>
    </row>
    <row r="65" spans="1:4" ht="19.5" customHeight="1" x14ac:dyDescent="0.35">
      <c r="A65" s="18"/>
      <c r="B65" s="19" t="s">
        <v>87</v>
      </c>
      <c r="C65" s="48">
        <f>'Fluxo 20 Anos'!C251</f>
        <v>46.465407368131693</v>
      </c>
      <c r="D65" s="18"/>
    </row>
    <row r="66" spans="1:4" ht="19.5" customHeight="1" x14ac:dyDescent="0.35">
      <c r="A66" s="18"/>
      <c r="B66" s="19" t="s">
        <v>88</v>
      </c>
      <c r="C66" s="49">
        <f>'Fluxo 20 Anos'!C252</f>
        <v>3.8721172806776409</v>
      </c>
      <c r="D66" s="18"/>
    </row>
    <row r="67" spans="1:4" ht="19.5" customHeight="1" x14ac:dyDescent="0.35">
      <c r="A67" s="18"/>
      <c r="B67" s="19" t="s">
        <v>59</v>
      </c>
      <c r="C67" s="40">
        <f>'Fluxo 20 Anos'!C253</f>
        <v>20025677.480300386</v>
      </c>
      <c r="D67" s="18"/>
    </row>
    <row r="68" spans="1:4" ht="19.5" customHeight="1" x14ac:dyDescent="0.35">
      <c r="A68" s="18"/>
      <c r="B68" s="19" t="s">
        <v>89</v>
      </c>
      <c r="C68" s="40">
        <f>'Fluxo 20 Anos'!C254</f>
        <v>22313177.480300382</v>
      </c>
      <c r="D68" s="18"/>
    </row>
  </sheetData>
  <mergeCells count="11">
    <mergeCell ref="A62:E62"/>
    <mergeCell ref="A31:E31"/>
    <mergeCell ref="A36:E36"/>
    <mergeCell ref="A43:E43"/>
    <mergeCell ref="A50:E50"/>
    <mergeCell ref="A57:E57"/>
    <mergeCell ref="A1:F1"/>
    <mergeCell ref="A2:F2"/>
    <mergeCell ref="A4:E4"/>
    <mergeCell ref="A10:E10"/>
    <mergeCell ref="A21:E21"/>
  </mergeCells>
  <pageMargins left="0.25" right="0.25" top="0.75" bottom="0.75" header="0.3" footer="0.3"/>
  <pageSetup paperSize="9" scale="6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4"/>
  <sheetViews>
    <sheetView showGridLines="0" topLeftCell="A233" zoomScale="85" zoomScaleNormal="85" workbookViewId="0">
      <selection activeCell="O246" sqref="O246"/>
    </sheetView>
  </sheetViews>
  <sheetFormatPr defaultColWidth="8.6328125" defaultRowHeight="14.5" x14ac:dyDescent="0.35"/>
  <cols>
    <col min="1" max="1" width="5" customWidth="1"/>
    <col min="2" max="2" width="11.7265625" bestFit="1" customWidth="1"/>
    <col min="3" max="3" width="12" customWidth="1"/>
    <col min="4" max="6" width="10" customWidth="1"/>
    <col min="7" max="8" width="14" customWidth="1"/>
    <col min="9" max="9" width="12" customWidth="1"/>
    <col min="10" max="12" width="14" customWidth="1"/>
    <col min="13" max="13" width="10" bestFit="1" customWidth="1"/>
    <col min="14" max="14" width="9.7265625" bestFit="1" customWidth="1"/>
    <col min="17" max="17" width="11" bestFit="1" customWidth="1"/>
  </cols>
  <sheetData>
    <row r="1" spans="1:18" ht="24" customHeight="1" x14ac:dyDescent="0.35">
      <c r="A1" s="13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8" ht="24" customHeight="1" x14ac:dyDescent="0.35">
      <c r="A2" s="12" t="s">
        <v>91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8" ht="37.5" customHeight="1" x14ac:dyDescent="0.35">
      <c r="A4" s="50" t="s">
        <v>92</v>
      </c>
      <c r="B4" s="50" t="s">
        <v>93</v>
      </c>
      <c r="C4" s="51" t="s">
        <v>94</v>
      </c>
      <c r="D4" s="51" t="s">
        <v>95</v>
      </c>
      <c r="E4" s="52" t="s">
        <v>96</v>
      </c>
      <c r="F4" s="52" t="s">
        <v>97</v>
      </c>
      <c r="G4" s="53" t="s">
        <v>98</v>
      </c>
      <c r="H4" s="54" t="s">
        <v>99</v>
      </c>
      <c r="I4" s="52" t="s">
        <v>100</v>
      </c>
      <c r="J4" s="52" t="s">
        <v>101</v>
      </c>
      <c r="K4" s="53" t="s">
        <v>102</v>
      </c>
      <c r="L4" s="51" t="s">
        <v>103</v>
      </c>
      <c r="M4" s="50" t="s">
        <v>104</v>
      </c>
      <c r="N4" s="50" t="s">
        <v>105</v>
      </c>
      <c r="O4" s="55" t="s">
        <v>106</v>
      </c>
      <c r="P4" s="55" t="s">
        <v>107</v>
      </c>
    </row>
    <row r="5" spans="1:18" ht="18" customHeight="1" x14ac:dyDescent="0.35">
      <c r="A5" s="56" t="s">
        <v>108</v>
      </c>
      <c r="B5" s="56" t="s">
        <v>109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8">
        <f>-Dimensionador!$C$8</f>
        <v>-1100000</v>
      </c>
      <c r="N5" s="58">
        <f>-(Dimensionador!$C$8+Premissas!$C$33)</f>
        <v>-2287500</v>
      </c>
      <c r="O5" s="58">
        <f>0</f>
        <v>0</v>
      </c>
      <c r="P5" s="57"/>
      <c r="Q5">
        <f>-(Dimensionador!$C$8+Premissas!$C$33)</f>
        <v>-2287500</v>
      </c>
      <c r="R5">
        <f>-Dimensionador!$C$8</f>
        <v>-1100000</v>
      </c>
    </row>
    <row r="6" spans="1:18" ht="12.75" customHeight="1" x14ac:dyDescent="0.35">
      <c r="A6" s="59">
        <v>1</v>
      </c>
      <c r="B6" s="60" t="s">
        <v>110</v>
      </c>
      <c r="C6" s="61">
        <f>Premissas!$C$69+0*(Premissas!$C$70-Premissas!$C$69)</f>
        <v>1</v>
      </c>
      <c r="D6" s="62">
        <f>(1+Premissas!$C$26)^(0)</f>
        <v>1</v>
      </c>
      <c r="E6" s="63">
        <f>Dimensionador!$C$22*(Premissas!$C$69+0*(Premissas!$C$70-Premissas!$C$69))*Premissas!$C$21*(1+Premissas!$C$26)^(0)</f>
        <v>18555.307936263289</v>
      </c>
      <c r="F6" s="63">
        <f>Dimensionador!$C$7*Premissas!$C$13*(Premissas!$C$69+0*(Premissas!$C$70-Premissas!$C$69))*Premissas!$C$20*(1+Premissas!$C$26)^(0)</f>
        <v>5024.8401169562039</v>
      </c>
      <c r="G6" s="64">
        <f>Dimensionador!$C$7*Premissas!$C$25*(1+Premissas!$C$27)^(0)/12</f>
        <v>1833.3333333333333</v>
      </c>
      <c r="H6" s="65">
        <f>Premissas!$C$52*(1-Premissas!$C$32)^(0)</f>
        <v>55218.75</v>
      </c>
      <c r="I6" s="65">
        <f>MIN(H6,Dimensionador!$C$7*Premissas!$C$13*(Premissas!$C$69+0*(Premissas!$C$70-Premissas!$C$69)))</f>
        <v>8027.3884308571514</v>
      </c>
      <c r="J6" s="65">
        <f t="shared" ref="J6:J69" si="0">MAX(0,H6-I6)</f>
        <v>47191.361569142849</v>
      </c>
      <c r="K6" s="63">
        <f>Premissas!$C$35*(1+Premissas!$C$27)^(0)/12</f>
        <v>989.58333333333337</v>
      </c>
      <c r="L6" s="63">
        <f>E6-F6+(I6+J6)*Premissas!$C$20*(1+Premissas!$C$26)^(0)</f>
        <v>48095.307006807088</v>
      </c>
      <c r="M6" s="63">
        <f>L6-G6-K6</f>
        <v>45272.390340140417</v>
      </c>
      <c r="N6" s="63">
        <f t="shared" ref="N6:N69" si="1">N5+M6</f>
        <v>-2242227.6096598594</v>
      </c>
      <c r="O6" s="63">
        <f>M6</f>
        <v>45272.390340140417</v>
      </c>
      <c r="P6" s="66" t="s">
        <v>111</v>
      </c>
      <c r="Q6" s="67">
        <f>SUM(M6:M17)</f>
        <v>533305.61077700555</v>
      </c>
      <c r="R6">
        <f>SUM(I6:I17)</f>
        <v>95048.292715564094</v>
      </c>
    </row>
    <row r="7" spans="1:18" ht="12.75" customHeight="1" x14ac:dyDescent="0.35">
      <c r="A7" s="68">
        <v>1</v>
      </c>
      <c r="B7" s="60" t="s">
        <v>112</v>
      </c>
      <c r="C7" s="61">
        <f>Premissas!$C$69+0.0833333333*(Premissas!$C$70-Premissas!$C$69)</f>
        <v>0.99758333333430005</v>
      </c>
      <c r="D7" s="62">
        <f>(1+Premissas!$C$26)^(0)</f>
        <v>1</v>
      </c>
      <c r="E7" s="63">
        <f>Dimensionador!$C$22*(Premissas!$C$69+0.0833333333*(Premissas!$C$70-Premissas!$C$69))*Premissas!$C$21*(1+Premissas!$C$26)^(0)</f>
        <v>18510.465942101924</v>
      </c>
      <c r="F7" s="63">
        <f>Dimensionador!$C$7*Premissas!$C$13*(Premissas!$C$69+0.0833333333*(Premissas!$C$70-Premissas!$C$69))*Premissas!$C$20*(1+Premissas!$C$26)^(0)</f>
        <v>5012.6967533450843</v>
      </c>
      <c r="G7" s="64">
        <f>Dimensionador!$C$7*Premissas!$C$25*(1+Premissas!$C$27)^(0)/12</f>
        <v>1833.3333333333333</v>
      </c>
      <c r="H7" s="65">
        <f>Premissas!$C$53*(1-Premissas!$C$32)^(0)</f>
        <v>49875</v>
      </c>
      <c r="I7" s="65">
        <f>MIN(H7,Dimensionador!$C$7*Premissas!$C$13*(Premissas!$C$69+0.0833333333*(Premissas!$C$70-Premissas!$C$69)))</f>
        <v>8007.9889088236732</v>
      </c>
      <c r="J7" s="65">
        <f t="shared" si="0"/>
        <v>41867.011091176326</v>
      </c>
      <c r="K7" s="63">
        <f>Premissas!$C$35*(1+Premissas!$C$27)^(0)/12</f>
        <v>989.58333333333337</v>
      </c>
      <c r="L7" s="63">
        <f>E7-F7+(I7+J7)*Premissas!$C$20*(1+Premissas!$C$26)^(0)</f>
        <v>44717.623938756842</v>
      </c>
      <c r="M7" s="63">
        <f t="shared" ref="M6:M69" si="2">L7-G7-K7</f>
        <v>41894.707272090171</v>
      </c>
      <c r="N7" s="63">
        <f t="shared" si="1"/>
        <v>-2200332.9023877694</v>
      </c>
      <c r="O7" s="63">
        <f t="shared" ref="O7:O70" si="3">O6+M7</f>
        <v>87167.097612230587</v>
      </c>
      <c r="P7" s="66" t="str">
        <f t="shared" ref="P7:P70" si="4">IF(AND(N7&gt;=0,N6&lt;0),"✅ PAYBACK","")</f>
        <v/>
      </c>
      <c r="Q7" s="67">
        <f>SUM(M18:M29)</f>
        <v>570863.08971160033</v>
      </c>
      <c r="R7">
        <f>SUM(I18:I29)</f>
        <v>92519.665359844104</v>
      </c>
    </row>
    <row r="8" spans="1:18" ht="12.75" customHeight="1" x14ac:dyDescent="0.35">
      <c r="A8" s="68">
        <v>1</v>
      </c>
      <c r="B8" s="60" t="s">
        <v>113</v>
      </c>
      <c r="C8" s="61">
        <f>Premissas!$C$69+0.1666666667*(Premissas!$C$70-Premissas!$C$69)</f>
        <v>0.99516666666569997</v>
      </c>
      <c r="D8" s="62">
        <f>(1+Premissas!$C$26)^(0)</f>
        <v>1</v>
      </c>
      <c r="E8" s="63">
        <f>Dimensionador!$C$22*(Premissas!$C$69+0.1666666667*(Premissas!$C$70-Premissas!$C$69))*Premissas!$C$21*(1+Premissas!$C$26)^(0)</f>
        <v>18465.623947886746</v>
      </c>
      <c r="F8" s="63">
        <f>Dimensionador!$C$7*Premissas!$C$13*(Premissas!$C$69+0.1666666667*(Premissas!$C$70-Premissas!$C$69))*Premissas!$C$20*(1+Premissas!$C$26)^(0)</f>
        <v>5000.5533897193918</v>
      </c>
      <c r="G8" s="64">
        <f>Dimensionador!$C$7*Premissas!$C$25*(1+Premissas!$C$27)^(0)/12</f>
        <v>1833.3333333333333</v>
      </c>
      <c r="H8" s="65">
        <f>Premissas!$C$54*(1-Premissas!$C$32)^(0)</f>
        <v>55218.75</v>
      </c>
      <c r="I8" s="65">
        <f>MIN(H8,Dimensionador!$C$7*Premissas!$C$13*(Premissas!$C$69+0.1666666667*(Premissas!$C$70-Premissas!$C$69)))</f>
        <v>7988.5893867669156</v>
      </c>
      <c r="J8" s="65">
        <f t="shared" si="0"/>
        <v>47230.160613233085</v>
      </c>
      <c r="K8" s="63">
        <f>Premissas!$C$35*(1+Premissas!$C$27)^(0)/12</f>
        <v>989.58333333333337</v>
      </c>
      <c r="L8" s="63">
        <f>E8-F8+(I8+J8)*Premissas!$C$20*(1+Premissas!$C$26)^(0)</f>
        <v>48029.909745667355</v>
      </c>
      <c r="M8" s="63">
        <f t="shared" si="2"/>
        <v>45206.993079000684</v>
      </c>
      <c r="N8" s="63">
        <f t="shared" si="1"/>
        <v>-2155125.9093087688</v>
      </c>
      <c r="O8" s="63">
        <f t="shared" si="3"/>
        <v>132374.09069123128</v>
      </c>
      <c r="P8" s="66" t="str">
        <f t="shared" si="4"/>
        <v/>
      </c>
      <c r="Q8" s="67">
        <f>SUM(M30:M41)</f>
        <v>611732.88608576672</v>
      </c>
      <c r="R8">
        <f>SUM(I30:I41)</f>
        <v>90392.407425666941</v>
      </c>
    </row>
    <row r="9" spans="1:18" ht="12.75" customHeight="1" x14ac:dyDescent="0.35">
      <c r="A9" s="68">
        <v>1</v>
      </c>
      <c r="B9" s="60" t="s">
        <v>114</v>
      </c>
      <c r="C9" s="61">
        <f>Premissas!$C$69+0.25*(Premissas!$C$70-Premissas!$C$69)</f>
        <v>0.99275000000000002</v>
      </c>
      <c r="D9" s="62">
        <f>(1+Premissas!$C$26)^(0)</f>
        <v>1</v>
      </c>
      <c r="E9" s="63">
        <f>Dimensionador!$C$22*(Premissas!$C$69+0.25*(Premissas!$C$70-Premissas!$C$69))*Premissas!$C$21*(1+Premissas!$C$26)^(0)</f>
        <v>18420.781953725382</v>
      </c>
      <c r="F9" s="63">
        <f>Dimensionador!$C$7*Premissas!$C$13*(Premissas!$C$69+0.25*(Premissas!$C$70-Premissas!$C$69))*Premissas!$C$20*(1+Premissas!$C$26)^(0)</f>
        <v>4988.4100261082722</v>
      </c>
      <c r="G9" s="64">
        <f>Dimensionador!$C$7*Premissas!$C$25*(1+Premissas!$C$27)^(0)/12</f>
        <v>1833.3333333333333</v>
      </c>
      <c r="H9" s="65">
        <f>Premissas!$C$55*(1-Premissas!$C$32)^(0)</f>
        <v>53437.5</v>
      </c>
      <c r="I9" s="65">
        <f>MIN(H9,Dimensionador!$C$7*Premissas!$C$13*(Premissas!$C$69+0.25*(Premissas!$C$70-Premissas!$C$69)))</f>
        <v>7969.1898647334374</v>
      </c>
      <c r="J9" s="65">
        <f t="shared" si="0"/>
        <v>45468.310135266562</v>
      </c>
      <c r="K9" s="63">
        <f>Premissas!$C$35*(1+Premissas!$C$27)^(0)/12</f>
        <v>989.58333333333337</v>
      </c>
      <c r="L9" s="63">
        <f>E9-F9+(I9+J9)*Premissas!$C$20*(1+Premissas!$C$26)^(0)</f>
        <v>46882.216302617111</v>
      </c>
      <c r="M9" s="63">
        <f t="shared" si="2"/>
        <v>44059.29963595044</v>
      </c>
      <c r="N9" s="63">
        <f t="shared" si="1"/>
        <v>-2111066.6096728183</v>
      </c>
      <c r="O9" s="63">
        <f t="shared" si="3"/>
        <v>176433.39032718173</v>
      </c>
      <c r="P9" s="66" t="str">
        <f t="shared" si="4"/>
        <v/>
      </c>
      <c r="Q9" s="67">
        <f>SUM(M42:M53)</f>
        <v>655729.173734218</v>
      </c>
      <c r="R9">
        <f>SUM(I42:I53)</f>
        <v>88413.656177460667</v>
      </c>
    </row>
    <row r="10" spans="1:18" ht="12.75" customHeight="1" x14ac:dyDescent="0.35">
      <c r="A10" s="68">
        <v>1</v>
      </c>
      <c r="B10" s="60" t="s">
        <v>115</v>
      </c>
      <c r="C10" s="61">
        <f>Premissas!$C$69+0.3333333333*(Premissas!$C$70-Premissas!$C$69)</f>
        <v>0.99033333333429996</v>
      </c>
      <c r="D10" s="62">
        <f>(1+Premissas!$C$26)^(0)</f>
        <v>1</v>
      </c>
      <c r="E10" s="63">
        <f>Dimensionador!$C$22*(Premissas!$C$69+0.3333333333*(Premissas!$C$70-Premissas!$C$69))*Premissas!$C$21*(1+Premissas!$C$26)^(0)</f>
        <v>18375.939959564013</v>
      </c>
      <c r="F10" s="63">
        <f>Dimensionador!$C$7*Premissas!$C$13*(Premissas!$C$69+0.3333333333*(Premissas!$C$70-Premissas!$C$69))*Premissas!$C$20*(1+Premissas!$C$26)^(0)</f>
        <v>4976.2666624971516</v>
      </c>
      <c r="G10" s="64">
        <f>Dimensionador!$C$7*Premissas!$C$25*(1+Premissas!$C$27)^(0)/12</f>
        <v>1833.3333333333333</v>
      </c>
      <c r="H10" s="65">
        <f>Premissas!$C$56*(1-Premissas!$C$32)^(0)</f>
        <v>55218.75</v>
      </c>
      <c r="I10" s="65">
        <f>MIN(H10,Dimensionador!$C$7*Premissas!$C$13*(Premissas!$C$69+0.3333333333*(Premissas!$C$70-Premissas!$C$69)))</f>
        <v>7949.7903426999583</v>
      </c>
      <c r="J10" s="65">
        <f t="shared" si="0"/>
        <v>47268.959657300045</v>
      </c>
      <c r="K10" s="63">
        <f>Premissas!$C$35*(1+Premissas!$C$27)^(0)/12</f>
        <v>989.58333333333337</v>
      </c>
      <c r="L10" s="63">
        <f>E10-F10+(I10+J10)*Premissas!$C$20*(1+Premissas!$C$26)^(0)</f>
        <v>47964.512484566862</v>
      </c>
      <c r="M10" s="63">
        <f t="shared" si="2"/>
        <v>45141.59581790019</v>
      </c>
      <c r="N10" s="63">
        <f t="shared" si="1"/>
        <v>-2065925.0138549181</v>
      </c>
      <c r="O10" s="63">
        <f t="shared" si="3"/>
        <v>221574.98614508193</v>
      </c>
      <c r="P10" s="66" t="str">
        <f t="shared" si="4"/>
        <v/>
      </c>
      <c r="Q10" s="67">
        <f>SUM(M54:M65)</f>
        <v>702994.53257773363</v>
      </c>
      <c r="R10">
        <f>SUM(I54:I65)</f>
        <v>86531.233590424672</v>
      </c>
    </row>
    <row r="11" spans="1:18" ht="12.75" customHeight="1" x14ac:dyDescent="0.35">
      <c r="A11" s="68">
        <v>1</v>
      </c>
      <c r="B11" s="60" t="s">
        <v>116</v>
      </c>
      <c r="C11" s="61">
        <f>Premissas!$C$69+0.4166666667*(Premissas!$C$70-Premissas!$C$69)</f>
        <v>0.98791666666569999</v>
      </c>
      <c r="D11" s="62">
        <f>(1+Premissas!$C$26)^(0)</f>
        <v>1</v>
      </c>
      <c r="E11" s="63">
        <f>Dimensionador!$C$22*(Premissas!$C$69+0.4166666667*(Premissas!$C$70-Premissas!$C$69))*Premissas!$C$21*(1+Premissas!$C$26)^(0)</f>
        <v>18331.097965348839</v>
      </c>
      <c r="F11" s="63">
        <f>Dimensionador!$C$7*Premissas!$C$13*(Premissas!$C$69+0.4166666667*(Premissas!$C$70-Premissas!$C$69))*Premissas!$C$20*(1+Premissas!$C$26)^(0)</f>
        <v>4964.1232988714592</v>
      </c>
      <c r="G11" s="64">
        <f>Dimensionador!$C$7*Premissas!$C$25*(1+Premissas!$C$27)^(0)/12</f>
        <v>1833.3333333333333</v>
      </c>
      <c r="H11" s="65">
        <f>Premissas!$C$57*(1-Premissas!$C$32)^(0)</f>
        <v>53437.5</v>
      </c>
      <c r="I11" s="65">
        <f>MIN(H11,Dimensionador!$C$7*Premissas!$C$13*(Premissas!$C$69+0.4166666667*(Premissas!$C$70-Premissas!$C$69)))</f>
        <v>7930.3908206432006</v>
      </c>
      <c r="J11" s="65">
        <f t="shared" si="0"/>
        <v>45507.109179356798</v>
      </c>
      <c r="K11" s="63">
        <f>Premissas!$C$35*(1+Premissas!$C$27)^(0)/12</f>
        <v>989.58333333333337</v>
      </c>
      <c r="L11" s="63">
        <f>E11-F11+(I11+J11)*Premissas!$C$20*(1+Premissas!$C$26)^(0)</f>
        <v>46816.819041477385</v>
      </c>
      <c r="M11" s="63">
        <f t="shared" si="2"/>
        <v>43993.902374810714</v>
      </c>
      <c r="N11" s="63">
        <f t="shared" si="1"/>
        <v>-2021931.1114801073</v>
      </c>
      <c r="O11" s="63">
        <f t="shared" si="3"/>
        <v>265568.88851989264</v>
      </c>
      <c r="P11" s="66" t="str">
        <f t="shared" si="4"/>
        <v/>
      </c>
      <c r="Q11" s="67">
        <f>SUM(M66:M77)</f>
        <v>753786.43646486802</v>
      </c>
      <c r="R11">
        <f>SUM(I66:I77)</f>
        <v>84745.139664558956</v>
      </c>
    </row>
    <row r="12" spans="1:18" ht="12.75" customHeight="1" x14ac:dyDescent="0.35">
      <c r="A12" s="68">
        <v>1</v>
      </c>
      <c r="B12" s="60" t="s">
        <v>117</v>
      </c>
      <c r="C12" s="61">
        <f>Premissas!$C$69+0.5*(Premissas!$C$70-Premissas!$C$69)</f>
        <v>0.98550000000000004</v>
      </c>
      <c r="D12" s="62">
        <f>(1+Premissas!$C$26)^(0)</f>
        <v>1</v>
      </c>
      <c r="E12" s="63">
        <f>Dimensionador!$C$22*(Premissas!$C$69+0.5*(Premissas!$C$70-Premissas!$C$69))*Premissas!$C$21*(1+Premissas!$C$26)^(0)</f>
        <v>18286.255971187471</v>
      </c>
      <c r="F12" s="63">
        <f>Dimensionador!$C$7*Premissas!$C$13*(Premissas!$C$69+0.5*(Premissas!$C$70-Premissas!$C$69))*Premissas!$C$20*(1+Premissas!$C$26)^(0)</f>
        <v>4951.9799352603395</v>
      </c>
      <c r="G12" s="64">
        <f>Dimensionador!$C$7*Premissas!$C$25*(1+Premissas!$C$27)^(0)/12</f>
        <v>1833.3333333333333</v>
      </c>
      <c r="H12" s="65">
        <f>Premissas!$C$58*(1-Premissas!$C$32)^(0)</f>
        <v>55218.75</v>
      </c>
      <c r="I12" s="65">
        <f>MIN(H12,Dimensionador!$C$7*Premissas!$C$13*(Premissas!$C$69+0.5*(Premissas!$C$70-Premissas!$C$69)))</f>
        <v>7910.9912986097233</v>
      </c>
      <c r="J12" s="65">
        <f t="shared" si="0"/>
        <v>47307.758701390274</v>
      </c>
      <c r="K12" s="63">
        <f>Premissas!$C$35*(1+Premissas!$C$27)^(0)/12</f>
        <v>989.58333333333337</v>
      </c>
      <c r="L12" s="63">
        <f>E12-F12+(I12+J12)*Premissas!$C$20*(1+Premissas!$C$26)^(0)</f>
        <v>47899.115223427129</v>
      </c>
      <c r="M12" s="63">
        <f t="shared" si="2"/>
        <v>45076.198556760457</v>
      </c>
      <c r="N12" s="63">
        <f t="shared" si="1"/>
        <v>-1976854.9129233467</v>
      </c>
      <c r="O12" s="63">
        <f t="shared" si="3"/>
        <v>310645.08707665309</v>
      </c>
      <c r="P12" s="66" t="str">
        <f t="shared" si="4"/>
        <v/>
      </c>
      <c r="Q12" s="67">
        <f>SUM(M78:M89)</f>
        <v>808265.9508113201</v>
      </c>
      <c r="R12">
        <f>SUM(I78:I89)</f>
        <v>83011.223763493806</v>
      </c>
    </row>
    <row r="13" spans="1:18" ht="12.75" customHeight="1" x14ac:dyDescent="0.35">
      <c r="A13" s="68">
        <v>1</v>
      </c>
      <c r="B13" s="60" t="s">
        <v>118</v>
      </c>
      <c r="C13" s="61">
        <f>Premissas!$C$69+0.5833333333*(Premissas!$C$70-Premissas!$C$69)</f>
        <v>0.98308333333429998</v>
      </c>
      <c r="D13" s="62">
        <f>(1+Premissas!$C$26)^(0)</f>
        <v>1</v>
      </c>
      <c r="E13" s="63">
        <f>Dimensionador!$C$22*(Premissas!$C$69+0.5833333333*(Premissas!$C$70-Premissas!$C$69))*Premissas!$C$21*(1+Premissas!$C$26)^(0)</f>
        <v>18241.413977026106</v>
      </c>
      <c r="F13" s="63">
        <f>Dimensionador!$C$7*Premissas!$C$13*(Premissas!$C$69+0.5833333333*(Premissas!$C$70-Premissas!$C$69))*Premissas!$C$20*(1+Premissas!$C$26)^(0)</f>
        <v>4939.836571649219</v>
      </c>
      <c r="G13" s="64">
        <f>Dimensionador!$C$7*Premissas!$C$25*(1+Premissas!$C$27)^(0)/12</f>
        <v>1833.3333333333333</v>
      </c>
      <c r="H13" s="65">
        <f>Premissas!$C$59*(1-Premissas!$C$32)^(0)</f>
        <v>55218.75</v>
      </c>
      <c r="I13" s="65">
        <f>MIN(H13,Dimensionador!$C$7*Premissas!$C$13*(Premissas!$C$69+0.5833333333*(Premissas!$C$70-Premissas!$C$69)))</f>
        <v>7891.5917765762442</v>
      </c>
      <c r="J13" s="65">
        <f t="shared" si="0"/>
        <v>47327.158223423758</v>
      </c>
      <c r="K13" s="63">
        <f>Premissas!$C$35*(1+Premissas!$C$27)^(0)/12</f>
        <v>989.58333333333337</v>
      </c>
      <c r="L13" s="63">
        <f>E13-F13+(I13+J13)*Premissas!$C$20*(1+Premissas!$C$26)^(0)</f>
        <v>47866.416592876893</v>
      </c>
      <c r="M13" s="63">
        <f t="shared" si="2"/>
        <v>45043.499926210221</v>
      </c>
      <c r="N13" s="63">
        <f t="shared" si="1"/>
        <v>-1931811.4129971366</v>
      </c>
      <c r="O13" s="63">
        <f t="shared" si="3"/>
        <v>355688.58700286329</v>
      </c>
      <c r="P13" s="66" t="str">
        <f t="shared" si="4"/>
        <v/>
      </c>
      <c r="Q13" s="67">
        <f>SUM(M90:M101)</f>
        <v>866556.78365859971</v>
      </c>
      <c r="R13">
        <f>SUM(I90:I101)</f>
        <v>81277.307862428657</v>
      </c>
    </row>
    <row r="14" spans="1:18" ht="12.75" customHeight="1" x14ac:dyDescent="0.35">
      <c r="A14" s="68">
        <v>1</v>
      </c>
      <c r="B14" s="60" t="s">
        <v>119</v>
      </c>
      <c r="C14" s="61">
        <f>Premissas!$C$69+0.6666666667*(Premissas!$C$70-Premissas!$C$69)</f>
        <v>0.98066666666570002</v>
      </c>
      <c r="D14" s="62">
        <f>(1+Premissas!$C$26)^(0)</f>
        <v>1</v>
      </c>
      <c r="E14" s="63">
        <f>Dimensionador!$C$22*(Premissas!$C$69+0.6666666667*(Premissas!$C$70-Premissas!$C$69))*Premissas!$C$21*(1+Premissas!$C$26)^(0)</f>
        <v>18196.571982810929</v>
      </c>
      <c r="F14" s="63">
        <f>Dimensionador!$C$7*Premissas!$C$13*(Premissas!$C$69+0.6666666667*(Premissas!$C$70-Premissas!$C$69))*Premissas!$C$20*(1+Premissas!$C$26)^(0)</f>
        <v>4927.6932080235274</v>
      </c>
      <c r="G14" s="64">
        <f>Dimensionador!$C$7*Premissas!$C$25*(1+Premissas!$C$27)^(0)/12</f>
        <v>1833.3333333333333</v>
      </c>
      <c r="H14" s="65">
        <f>Premissas!$C$60*(1-Premissas!$C$32)^(0)</f>
        <v>53437.5</v>
      </c>
      <c r="I14" s="65">
        <f>MIN(H14,Dimensionador!$C$7*Premissas!$C$13*(Premissas!$C$69+0.6666666667*(Premissas!$C$70-Premissas!$C$69)))</f>
        <v>7872.1922545194866</v>
      </c>
      <c r="J14" s="65">
        <f t="shared" si="0"/>
        <v>45565.307745480517</v>
      </c>
      <c r="K14" s="63">
        <f>Premissas!$C$35*(1+Premissas!$C$27)^(0)/12</f>
        <v>989.58333333333337</v>
      </c>
      <c r="L14" s="63">
        <f>E14-F14+(I14+J14)*Premissas!$C$20*(1+Premissas!$C$26)^(0)</f>
        <v>46718.723149787402</v>
      </c>
      <c r="M14" s="63">
        <f t="shared" si="2"/>
        <v>43895.80648312073</v>
      </c>
      <c r="N14" s="63">
        <f t="shared" si="1"/>
        <v>-1887915.6065140159</v>
      </c>
      <c r="O14" s="63">
        <f t="shared" si="3"/>
        <v>399584.39348598401</v>
      </c>
      <c r="P14" s="66" t="str">
        <f t="shared" si="4"/>
        <v/>
      </c>
      <c r="Q14" s="67">
        <f>SUM(M102:M113)</f>
        <v>929056.14213285735</v>
      </c>
      <c r="R14">
        <f>SUM(I102:I113)</f>
        <v>79587.542597733234</v>
      </c>
    </row>
    <row r="15" spans="1:18" ht="12.75" customHeight="1" x14ac:dyDescent="0.35">
      <c r="A15" s="68">
        <v>1</v>
      </c>
      <c r="B15" s="60" t="s">
        <v>120</v>
      </c>
      <c r="C15" s="61">
        <f>Premissas!$C$69+0.75*(Premissas!$C$70-Premissas!$C$69)</f>
        <v>0.97824999999999995</v>
      </c>
      <c r="D15" s="62">
        <f>(1+Premissas!$C$26)^(0)</f>
        <v>1</v>
      </c>
      <c r="E15" s="63">
        <f>Dimensionador!$C$22*(Premissas!$C$69+0.75*(Premissas!$C$70-Premissas!$C$69))*Premissas!$C$21*(1+Premissas!$C$26)^(0)</f>
        <v>18151.729988649564</v>
      </c>
      <c r="F15" s="63">
        <f>Dimensionador!$C$7*Premissas!$C$13*(Premissas!$C$69+0.75*(Premissas!$C$70-Premissas!$C$69))*Premissas!$C$20*(1+Premissas!$C$26)^(0)</f>
        <v>4915.5498444124069</v>
      </c>
      <c r="G15" s="64">
        <f>Dimensionador!$C$7*Premissas!$C$25*(1+Premissas!$C$27)^(0)/12</f>
        <v>1833.3333333333333</v>
      </c>
      <c r="H15" s="65">
        <f>Premissas!$C$61*(1-Premissas!$C$32)^(0)</f>
        <v>55218.75</v>
      </c>
      <c r="I15" s="65">
        <f>MIN(H15,Dimensionador!$C$7*Premissas!$C$13*(Premissas!$C$69+0.75*(Premissas!$C$70-Premissas!$C$69)))</f>
        <v>7852.7927324860084</v>
      </c>
      <c r="J15" s="65">
        <f t="shared" si="0"/>
        <v>47365.957267513993</v>
      </c>
      <c r="K15" s="63">
        <f>Premissas!$C$35*(1+Premissas!$C$27)^(0)/12</f>
        <v>989.58333333333337</v>
      </c>
      <c r="L15" s="63">
        <f>E15-F15+(I15+J15)*Premissas!$C$20*(1+Premissas!$C$26)^(0)</f>
        <v>47801.01933173716</v>
      </c>
      <c r="M15" s="63">
        <f t="shared" si="2"/>
        <v>44978.102665070488</v>
      </c>
      <c r="N15" s="63">
        <f t="shared" si="1"/>
        <v>-1842937.5038489455</v>
      </c>
      <c r="O15" s="63">
        <f t="shared" si="3"/>
        <v>444562.49615105451</v>
      </c>
      <c r="P15" s="66" t="str">
        <f t="shared" si="4"/>
        <v/>
      </c>
      <c r="Q15" s="67">
        <f>SUM(M114:M125)</f>
        <v>995951.96434116561</v>
      </c>
      <c r="R15">
        <f>SUM(I114:I125)</f>
        <v>77905.804721468652</v>
      </c>
    </row>
    <row r="16" spans="1:18" ht="12.75" customHeight="1" x14ac:dyDescent="0.35">
      <c r="A16" s="68">
        <v>1</v>
      </c>
      <c r="B16" s="60" t="s">
        <v>121</v>
      </c>
      <c r="C16" s="61">
        <f>Premissas!$C$69+0.8333333333*(Premissas!$C$70-Premissas!$C$69)</f>
        <v>0.9758333333343</v>
      </c>
      <c r="D16" s="62">
        <f>(1+Premissas!$C$26)^(0)</f>
        <v>1</v>
      </c>
      <c r="E16" s="63">
        <f>Dimensionador!$C$22*(Premissas!$C$69+0.8333333333*(Premissas!$C$70-Premissas!$C$69))*Premissas!$C$21*(1+Premissas!$C$26)^(0)</f>
        <v>18106.887994488199</v>
      </c>
      <c r="F16" s="63">
        <f>Dimensionador!$C$7*Premissas!$C$13*(Premissas!$C$69+0.8333333333*(Premissas!$C$70-Premissas!$C$69))*Premissas!$C$20*(1+Premissas!$C$26)^(0)</f>
        <v>4903.4064808012872</v>
      </c>
      <c r="G16" s="64">
        <f>Dimensionador!$C$7*Premissas!$C$25*(1+Premissas!$C$27)^(0)/12</f>
        <v>1833.3333333333333</v>
      </c>
      <c r="H16" s="65">
        <f>Premissas!$C$62*(1-Premissas!$C$32)^(0)</f>
        <v>53437.5</v>
      </c>
      <c r="I16" s="65">
        <f>MIN(H16,Dimensionador!$C$7*Premissas!$C$13*(Premissas!$C$69+0.8333333333*(Premissas!$C$70-Premissas!$C$69)))</f>
        <v>7833.3932104525302</v>
      </c>
      <c r="J16" s="65">
        <f t="shared" si="0"/>
        <v>45604.10678954747</v>
      </c>
      <c r="K16" s="63">
        <f>Premissas!$C$35*(1+Premissas!$C$27)^(0)/12</f>
        <v>989.58333333333337</v>
      </c>
      <c r="L16" s="63">
        <f>E16-F16+(I16+J16)*Premissas!$C$20*(1+Premissas!$C$26)^(0)</f>
        <v>46653.325888686915</v>
      </c>
      <c r="M16" s="63">
        <f t="shared" si="2"/>
        <v>43830.409222020244</v>
      </c>
      <c r="N16" s="63">
        <f t="shared" si="1"/>
        <v>-1799107.0946269252</v>
      </c>
      <c r="O16" s="63">
        <f t="shared" si="3"/>
        <v>488392.90537307475</v>
      </c>
      <c r="P16" s="66" t="str">
        <f t="shared" si="4"/>
        <v/>
      </c>
      <c r="Q16" s="67">
        <f>SUM(M126:M137)</f>
        <v>1067650.4321043217</v>
      </c>
      <c r="R16">
        <f>SUM(I126:I137)</f>
        <v>76260.190093142941</v>
      </c>
    </row>
    <row r="17" spans="1:18" ht="12.75" customHeight="1" x14ac:dyDescent="0.35">
      <c r="A17" s="69">
        <v>1</v>
      </c>
      <c r="B17" s="70" t="s">
        <v>122</v>
      </c>
      <c r="C17" s="71">
        <f>Premissas!$C$69+0.9166666667*(Premissas!$C$70-Premissas!$C$69)</f>
        <v>0.97341666666569993</v>
      </c>
      <c r="D17" s="72">
        <f>(1+Premissas!$C$26)^(0)</f>
        <v>1</v>
      </c>
      <c r="E17" s="73">
        <f>Dimensionador!$C$22*(Premissas!$C$69+0.9166666667*(Premissas!$C$70-Premissas!$C$69))*Premissas!$C$21*(1+Premissas!$C$26)^(0)</f>
        <v>18062.046000273021</v>
      </c>
      <c r="F17" s="73">
        <f>Dimensionador!$C$7*Premissas!$C$13*(Premissas!$C$69+0.9166666667*(Premissas!$C$70-Premissas!$C$69))*Premissas!$C$20*(1+Premissas!$C$26)^(0)</f>
        <v>4891.2631171755938</v>
      </c>
      <c r="G17" s="74">
        <f>Dimensionador!$C$7*Premissas!$C$25*(1+Premissas!$C$27)^(0)/12</f>
        <v>1833.3333333333333</v>
      </c>
      <c r="H17" s="75">
        <f>Premissas!$C$63*(1-Premissas!$C$32)^(0)</f>
        <v>55218.75</v>
      </c>
      <c r="I17" s="76">
        <f>MIN(H17,Dimensionador!$C$7*Premissas!$C$13*(Premissas!$C$69+0.9166666667*(Premissas!$C$70-Premissas!$C$69)))</f>
        <v>7813.9936883957716</v>
      </c>
      <c r="J17" s="75">
        <f t="shared" si="0"/>
        <v>47404.756311604229</v>
      </c>
      <c r="K17" s="77">
        <f>Premissas!$C$35*(1+Premissas!$C$27)^(0)/12</f>
        <v>989.58333333333337</v>
      </c>
      <c r="L17" s="73">
        <f>E17-F17+(I17+J17)*Premissas!$C$20*(1+Premissas!$C$26)^(0)</f>
        <v>47735.622070597427</v>
      </c>
      <c r="M17" s="77">
        <f t="shared" si="2"/>
        <v>44912.705403930755</v>
      </c>
      <c r="N17" s="77">
        <f t="shared" si="1"/>
        <v>-1754194.3892229944</v>
      </c>
      <c r="O17" s="77">
        <f t="shared" si="3"/>
        <v>533305.61077700555</v>
      </c>
      <c r="P17" s="78" t="str">
        <f t="shared" si="4"/>
        <v/>
      </c>
      <c r="Q17" s="67">
        <f>SUM(M138:M149)</f>
        <v>1144074.8070948808</v>
      </c>
      <c r="R17">
        <f>SUM(I138:I149)</f>
        <v>74542.328968939517</v>
      </c>
    </row>
    <row r="18" spans="1:18" ht="12.75" customHeight="1" x14ac:dyDescent="0.35">
      <c r="A18" s="79">
        <v>2</v>
      </c>
      <c r="B18" s="80" t="s">
        <v>110</v>
      </c>
      <c r="C18" s="81">
        <f>Premissas!$C$70+0*(Premissas!$C$71-Premissas!$C$70)</f>
        <v>0.97099999999999997</v>
      </c>
      <c r="D18" s="82">
        <f>(1+Premissas!$C$26)^(1)</f>
        <v>1.08</v>
      </c>
      <c r="E18" s="83">
        <f>Dimensionador!$C$22*(Premissas!$C$70+0*(Premissas!$C$71-Premissas!$C$70))*Premissas!$C$21*(1+Premissas!$C$26)^(1)</f>
        <v>19458.580326600586</v>
      </c>
      <c r="F18" s="83">
        <f>Dimensionador!$C$7*Premissas!$C$13*(Premissas!$C$70+0*(Premissas!$C$71-Premissas!$C$70))*Premissas!$C$20*(1+Premissas!$C$26)^(1)</f>
        <v>5269.4493338496322</v>
      </c>
      <c r="G18" s="84">
        <f>Dimensionador!$C$7*Premissas!$C$25*(1+Premissas!$C$27)^(1)/12</f>
        <v>1888.3333333333333</v>
      </c>
      <c r="H18" s="85">
        <f>Premissas!$C$52*(1-Premissas!$C$32)^(1)</f>
        <v>54942.65625</v>
      </c>
      <c r="I18" s="85">
        <f>MIN(H18,Dimensionador!$C$7*Premissas!$C$13*(Premissas!$C$70+0*(Premissas!$C$71-Premissas!$C$70)))</f>
        <v>7794.5941663622934</v>
      </c>
      <c r="J18" s="85">
        <f t="shared" si="0"/>
        <v>47148.062083637706</v>
      </c>
      <c r="K18" s="83">
        <f>Premissas!$C$35*(1+Premissas!$C$27)^(1)/12</f>
        <v>1019.2708333333334</v>
      </c>
      <c r="L18" s="83">
        <f>E18-F18+(I18+J18)*Premissas!$C$20*(1+Premissas!$C$26)^(1)</f>
        <v>51332.50718363846</v>
      </c>
      <c r="M18" s="83">
        <f t="shared" si="2"/>
        <v>48424.903016971788</v>
      </c>
      <c r="N18" s="83">
        <f t="shared" si="1"/>
        <v>-1705769.4862060226</v>
      </c>
      <c r="O18" s="83">
        <f t="shared" si="3"/>
        <v>581730.51379397733</v>
      </c>
      <c r="P18" s="86" t="str">
        <f t="shared" si="4"/>
        <v/>
      </c>
      <c r="Q18" s="67">
        <f>SUM(M150:M161)</f>
        <v>1226230.5747424953</v>
      </c>
      <c r="R18">
        <f>SUM(I150:I161)</f>
        <v>72924.810200121792</v>
      </c>
    </row>
    <row r="19" spans="1:18" ht="12.75" customHeight="1" x14ac:dyDescent="0.35">
      <c r="A19" s="87">
        <v>2</v>
      </c>
      <c r="B19" s="80" t="s">
        <v>112</v>
      </c>
      <c r="C19" s="81">
        <f>Premissas!$C$70+0.0833333333*(Premissas!$C$71-Premissas!$C$70)</f>
        <v>0.96908333333410002</v>
      </c>
      <c r="D19" s="82">
        <f>(1+Premissas!$C$26)^(1)</f>
        <v>1.08</v>
      </c>
      <c r="E19" s="83">
        <f>Dimensionador!$C$22*(Premissas!$C$70+0.0833333333*(Premissas!$C$71-Premissas!$C$70))*Premissas!$C$21*(1+Premissas!$C$26)^(1)</f>
        <v>19420.170839187889</v>
      </c>
      <c r="F19" s="83">
        <f>Dimensionador!$C$7*Premissas!$C$13*(Premissas!$C$70+0.0833333333*(Premissas!$C$71-Premissas!$C$70))*Premissas!$C$20*(1+Premissas!$C$26)^(1)</f>
        <v>5259.0479148116938</v>
      </c>
      <c r="G19" s="84">
        <f>Dimensionador!$C$7*Premissas!$C$25*(1+Premissas!$C$27)^(1)/12</f>
        <v>1888.3333333333333</v>
      </c>
      <c r="H19" s="85">
        <f>Premissas!$C$53*(1-Premissas!$C$32)^(1)</f>
        <v>49625.625</v>
      </c>
      <c r="I19" s="85">
        <f>MIN(H19,Dimensionador!$C$7*Premissas!$C$13*(Premissas!$C$70+0.0833333333*(Premissas!$C$71-Premissas!$C$70)))</f>
        <v>7779.2083385426386</v>
      </c>
      <c r="J19" s="85">
        <f t="shared" si="0"/>
        <v>41846.416661457362</v>
      </c>
      <c r="K19" s="83">
        <f>Premissas!$C$35*(1+Premissas!$C$27)^(1)/12</f>
        <v>1019.2708333333334</v>
      </c>
      <c r="L19" s="83">
        <f>E19-F19+(I19+J19)*Premissas!$C$20*(1+Premissas!$C$26)^(1)</f>
        <v>47709.978838726194</v>
      </c>
      <c r="M19" s="83">
        <f>L19-G19-K19</f>
        <v>44802.374672059523</v>
      </c>
      <c r="N19" s="83">
        <f t="shared" si="1"/>
        <v>-1660967.1115339631</v>
      </c>
      <c r="O19" s="83">
        <f t="shared" si="3"/>
        <v>626532.88846603688</v>
      </c>
      <c r="P19" s="86" t="str">
        <f t="shared" si="4"/>
        <v/>
      </c>
      <c r="Q19" s="67">
        <f>SUM(M162:M173)</f>
        <v>1315185.2807560524</v>
      </c>
      <c r="R19">
        <f>SUM(I162:I173)</f>
        <v>71540.085695798931</v>
      </c>
    </row>
    <row r="20" spans="1:18" ht="12.75" customHeight="1" x14ac:dyDescent="0.35">
      <c r="A20" s="87">
        <v>2</v>
      </c>
      <c r="B20" s="80" t="s">
        <v>113</v>
      </c>
      <c r="C20" s="81">
        <f>Premissas!$C$70+0.1666666667*(Premissas!$C$71-Premissas!$C$70)</f>
        <v>0.96716666666590001</v>
      </c>
      <c r="D20" s="82">
        <f>(1+Premissas!$C$26)^(1)</f>
        <v>1.08</v>
      </c>
      <c r="E20" s="83">
        <f>Dimensionador!$C$22*(Premissas!$C$70+0.1666666667*(Premissas!$C$71-Premissas!$C$70))*Premissas!$C$21*(1+Premissas!$C$26)^(1)</f>
        <v>19381.761351729096</v>
      </c>
      <c r="F20" s="83">
        <f>Dimensionador!$C$7*Premissas!$C$13*(Premissas!$C$70+0.1666666667*(Premissas!$C$71-Premissas!$C$70))*Premissas!$C$20*(1+Premissas!$C$26)^(1)</f>
        <v>5248.6464957612734</v>
      </c>
      <c r="G20" s="84">
        <f>Dimensionador!$C$7*Premissas!$C$25*(1+Premissas!$C$27)^(1)/12</f>
        <v>1888.3333333333333</v>
      </c>
      <c r="H20" s="85">
        <f>Premissas!$C$54*(1-Premissas!$C$32)^(1)</f>
        <v>54942.65625</v>
      </c>
      <c r="I20" s="85">
        <f>MIN(H20,Dimensionador!$C$7*Premissas!$C$13*(Premissas!$C$70+0.1666666667*(Premissas!$C$71-Premissas!$C$70)))</f>
        <v>7763.8225107045209</v>
      </c>
      <c r="J20" s="85">
        <f t="shared" si="0"/>
        <v>47178.833739295478</v>
      </c>
      <c r="K20" s="83">
        <f>Premissas!$C$35*(1+Premissas!$C$27)^(1)/12</f>
        <v>1019.2708333333334</v>
      </c>
      <c r="L20" s="83">
        <f>E20-F20+(I20+J20)*Premissas!$C$20*(1+Premissas!$C$26)^(1)</f>
        <v>51276.491046855328</v>
      </c>
      <c r="M20" s="83">
        <f t="shared" si="2"/>
        <v>48368.886880188657</v>
      </c>
      <c r="N20" s="83">
        <f t="shared" si="1"/>
        <v>-1612598.2246537744</v>
      </c>
      <c r="O20" s="83">
        <f t="shared" si="3"/>
        <v>674901.77534622559</v>
      </c>
      <c r="P20" s="86" t="str">
        <f t="shared" si="4"/>
        <v/>
      </c>
      <c r="Q20" s="67">
        <f>SUM(M174:M185)</f>
        <v>1409657.2980820248</v>
      </c>
      <c r="R20">
        <f>SUM(I174:I185)</f>
        <v>69998.827117074354</v>
      </c>
    </row>
    <row r="21" spans="1:18" ht="12.75" customHeight="1" x14ac:dyDescent="0.35">
      <c r="A21" s="87">
        <v>2</v>
      </c>
      <c r="B21" s="80" t="s">
        <v>114</v>
      </c>
      <c r="C21" s="81">
        <f>Premissas!$C$70+0.25*(Premissas!$C$71-Premissas!$C$70)</f>
        <v>0.96524999999999994</v>
      </c>
      <c r="D21" s="82">
        <f>(1+Premissas!$C$26)^(1)</f>
        <v>1.08</v>
      </c>
      <c r="E21" s="83">
        <f>Dimensionador!$C$22*(Premissas!$C$70+0.25*(Premissas!$C$71-Premissas!$C$70))*Premissas!$C$21*(1+Premissas!$C$26)^(1)</f>
        <v>19343.351864316392</v>
      </c>
      <c r="F21" s="83">
        <f>Dimensionador!$C$7*Premissas!$C$13*(Premissas!$C$70+0.25*(Premissas!$C$71-Premissas!$C$70))*Premissas!$C$20*(1+Premissas!$C$26)^(1)</f>
        <v>5238.245076723334</v>
      </c>
      <c r="G21" s="84">
        <f>Dimensionador!$C$7*Premissas!$C$25*(1+Premissas!$C$27)^(1)/12</f>
        <v>1888.3333333333333</v>
      </c>
      <c r="H21" s="85">
        <f>Premissas!$C$55*(1-Premissas!$C$32)^(1)</f>
        <v>53170.3125</v>
      </c>
      <c r="I21" s="85">
        <f>MIN(H21,Dimensionador!$C$7*Premissas!$C$13*(Premissas!$C$70+0.25*(Premissas!$C$71-Premissas!$C$70)))</f>
        <v>7748.4366828848651</v>
      </c>
      <c r="J21" s="85">
        <f t="shared" si="0"/>
        <v>45421.875817115135</v>
      </c>
      <c r="K21" s="83">
        <f>Premissas!$C$35*(1+Premissas!$C$27)^(1)/12</f>
        <v>1019.2708333333334</v>
      </c>
      <c r="L21" s="83">
        <f>E21-F21+(I21+J21)*Premissas!$C$20*(1+Premissas!$C$26)^(1)</f>
        <v>50050.309552968058</v>
      </c>
      <c r="M21" s="83">
        <f t="shared" si="2"/>
        <v>47142.705386301386</v>
      </c>
      <c r="N21" s="83">
        <f t="shared" si="1"/>
        <v>-1565455.5192674729</v>
      </c>
      <c r="O21" s="83">
        <f t="shared" si="3"/>
        <v>722044.48073252698</v>
      </c>
      <c r="P21" s="86" t="str">
        <f t="shared" si="4"/>
        <v/>
      </c>
      <c r="Q21" s="67">
        <f>SUM(M186:M197)</f>
        <v>1510969.5896904701</v>
      </c>
      <c r="R21">
        <f>SUM(I186:I197)</f>
        <v>68501.719174719488</v>
      </c>
    </row>
    <row r="22" spans="1:18" ht="12.75" customHeight="1" x14ac:dyDescent="0.35">
      <c r="A22" s="87">
        <v>2</v>
      </c>
      <c r="B22" s="80" t="s">
        <v>115</v>
      </c>
      <c r="C22" s="81">
        <f>Premissas!$C$70+0.3333333333*(Premissas!$C$71-Premissas!$C$70)</f>
        <v>0.96333333333409998</v>
      </c>
      <c r="D22" s="82">
        <f>(1+Premissas!$C$26)^(1)</f>
        <v>1.08</v>
      </c>
      <c r="E22" s="83">
        <f>Dimensionador!$C$22*(Premissas!$C$70+0.3333333333*(Premissas!$C$71-Premissas!$C$70))*Premissas!$C$21*(1+Premissas!$C$26)^(1)</f>
        <v>19304.942376903691</v>
      </c>
      <c r="F22" s="83">
        <f>Dimensionador!$C$7*Premissas!$C$13*(Premissas!$C$70+0.3333333333*(Premissas!$C$71-Premissas!$C$70))*Premissas!$C$20*(1+Premissas!$C$26)^(1)</f>
        <v>5227.8436576853956</v>
      </c>
      <c r="G22" s="84">
        <f>Dimensionador!$C$7*Premissas!$C$25*(1+Premissas!$C$27)^(1)/12</f>
        <v>1888.3333333333333</v>
      </c>
      <c r="H22" s="85">
        <f>Premissas!$C$56*(1-Premissas!$C$32)^(1)</f>
        <v>54942.65625</v>
      </c>
      <c r="I22" s="85">
        <f>MIN(H22,Dimensionador!$C$7*Premissas!$C$13*(Premissas!$C$70+0.3333333333*(Premissas!$C$71-Premissas!$C$70)))</f>
        <v>7733.0508550652103</v>
      </c>
      <c r="J22" s="85">
        <f t="shared" si="0"/>
        <v>47209.605394934792</v>
      </c>
      <c r="K22" s="83">
        <f>Premissas!$C$35*(1+Premissas!$C$27)^(1)/12</f>
        <v>1019.2708333333334</v>
      </c>
      <c r="L22" s="83">
        <f>E22-F22+(I22+J22)*Premissas!$C$20*(1+Premissas!$C$26)^(1)</f>
        <v>51220.474910105797</v>
      </c>
      <c r="M22" s="83">
        <f t="shared" si="2"/>
        <v>48312.870743439125</v>
      </c>
      <c r="N22" s="83">
        <f t="shared" si="1"/>
        <v>-1517142.6485240338</v>
      </c>
      <c r="O22" s="83">
        <f t="shared" si="3"/>
        <v>770357.35147596616</v>
      </c>
      <c r="P22" s="86" t="str">
        <f t="shared" si="4"/>
        <v/>
      </c>
      <c r="Q22" s="67">
        <f>SUM(M198:M209)</f>
        <v>1619675.7431808019</v>
      </c>
      <c r="R22">
        <f>SUM(I198:I209)</f>
        <v>67056.789257165205</v>
      </c>
    </row>
    <row r="23" spans="1:18" ht="12.75" customHeight="1" x14ac:dyDescent="0.35">
      <c r="A23" s="87">
        <v>2</v>
      </c>
      <c r="B23" s="80" t="s">
        <v>116</v>
      </c>
      <c r="C23" s="81">
        <f>Premissas!$C$70+0.4166666667*(Premissas!$C$71-Premissas!$C$70)</f>
        <v>0.96141666666589998</v>
      </c>
      <c r="D23" s="82">
        <f>(1+Premissas!$C$26)^(1)</f>
        <v>1.08</v>
      </c>
      <c r="E23" s="83">
        <f>Dimensionador!$C$22*(Premissas!$C$70+0.4166666667*(Premissas!$C$71-Premissas!$C$70))*Premissas!$C$21*(1+Premissas!$C$26)^(1)</f>
        <v>19266.532889444898</v>
      </c>
      <c r="F23" s="83">
        <f>Dimensionador!$C$7*Premissas!$C$13*(Premissas!$C$70+0.4166666667*(Premissas!$C$71-Premissas!$C$70))*Premissas!$C$20*(1+Premissas!$C$26)^(1)</f>
        <v>5217.4422386349752</v>
      </c>
      <c r="G23" s="84">
        <f>Dimensionador!$C$7*Premissas!$C$25*(1+Premissas!$C$27)^(1)/12</f>
        <v>1888.3333333333333</v>
      </c>
      <c r="H23" s="85">
        <f>Premissas!$C$57*(1-Premissas!$C$32)^(1)</f>
        <v>53170.3125</v>
      </c>
      <c r="I23" s="85">
        <f>MIN(H23,Dimensionador!$C$7*Premissas!$C$13*(Premissas!$C$70+0.4166666667*(Premissas!$C$71-Premissas!$C$70)))</f>
        <v>7717.6650272270917</v>
      </c>
      <c r="J23" s="85">
        <f t="shared" si="0"/>
        <v>45452.647472772907</v>
      </c>
      <c r="K23" s="83">
        <f>Premissas!$C$35*(1+Premissas!$C$27)^(1)/12</f>
        <v>1019.2708333333334</v>
      </c>
      <c r="L23" s="83">
        <f>E23-F23+(I23+J23)*Premissas!$C$20*(1+Premissas!$C$26)^(1)</f>
        <v>49994.293416184926</v>
      </c>
      <c r="M23" s="83">
        <f t="shared" si="2"/>
        <v>47086.689249518255</v>
      </c>
      <c r="N23" s="83">
        <f t="shared" si="1"/>
        <v>-1470055.9592745155</v>
      </c>
      <c r="O23" s="83">
        <f t="shared" si="3"/>
        <v>817444.04072548437</v>
      </c>
      <c r="P23" s="86" t="str">
        <f t="shared" si="4"/>
        <v/>
      </c>
      <c r="Q23" s="67">
        <f>SUM(M210:M221)</f>
        <v>1736007.6540056574</v>
      </c>
      <c r="R23">
        <f>SUM(I210:I221)</f>
        <v>65611.859339610935</v>
      </c>
    </row>
    <row r="24" spans="1:18" ht="12.75" customHeight="1" x14ac:dyDescent="0.35">
      <c r="A24" s="87">
        <v>2</v>
      </c>
      <c r="B24" s="80" t="s">
        <v>117</v>
      </c>
      <c r="C24" s="81">
        <f>Premissas!$C$70+0.5*(Premissas!$C$71-Premissas!$C$70)</f>
        <v>0.95950000000000002</v>
      </c>
      <c r="D24" s="82">
        <f>(1+Premissas!$C$26)^(1)</f>
        <v>1.08</v>
      </c>
      <c r="E24" s="83">
        <f>Dimensionador!$C$22*(Premissas!$C$70+0.5*(Premissas!$C$71-Premissas!$C$70))*Premissas!$C$21*(1+Premissas!$C$26)^(1)</f>
        <v>19228.123402032201</v>
      </c>
      <c r="F24" s="83">
        <f>Dimensionador!$C$7*Premissas!$C$13*(Premissas!$C$70+0.5*(Premissas!$C$71-Premissas!$C$70))*Premissas!$C$20*(1+Premissas!$C$26)^(1)</f>
        <v>5207.0408195970367</v>
      </c>
      <c r="G24" s="84">
        <f>Dimensionador!$C$7*Premissas!$C$25*(1+Premissas!$C$27)^(1)/12</f>
        <v>1888.3333333333333</v>
      </c>
      <c r="H24" s="85">
        <f>Premissas!$C$58*(1-Premissas!$C$32)^(1)</f>
        <v>54942.65625</v>
      </c>
      <c r="I24" s="85">
        <f>MIN(H24,Dimensionador!$C$7*Premissas!$C$13*(Premissas!$C$70+0.5*(Premissas!$C$71-Premissas!$C$70)))</f>
        <v>7702.2791994074369</v>
      </c>
      <c r="J24" s="85">
        <f t="shared" si="0"/>
        <v>47240.377050592564</v>
      </c>
      <c r="K24" s="83">
        <f>Premissas!$C$35*(1+Premissas!$C$27)^(1)/12</f>
        <v>1019.2708333333334</v>
      </c>
      <c r="L24" s="83">
        <f>E24-F24+(I24+J24)*Premissas!$C$20*(1+Premissas!$C$26)^(1)</f>
        <v>51164.458773322665</v>
      </c>
      <c r="M24" s="83">
        <f t="shared" si="2"/>
        <v>48256.854606655994</v>
      </c>
      <c r="N24" s="83">
        <f t="shared" si="1"/>
        <v>-1421799.1046678596</v>
      </c>
      <c r="O24" s="83">
        <f t="shared" si="3"/>
        <v>865700.89533214038</v>
      </c>
      <c r="P24" s="86" t="str">
        <f t="shared" si="4"/>
        <v/>
      </c>
      <c r="Q24" s="67">
        <f>SUM(M222:M233)</f>
        <v>1860785.7447393397</v>
      </c>
      <c r="R24">
        <f>SUM(I222:I233)</f>
        <v>64211.080058426371</v>
      </c>
    </row>
    <row r="25" spans="1:18" ht="12.75" customHeight="1" x14ac:dyDescent="0.35">
      <c r="A25" s="87">
        <v>2</v>
      </c>
      <c r="B25" s="80" t="s">
        <v>118</v>
      </c>
      <c r="C25" s="81">
        <f>Premissas!$C$70+0.5833333333*(Premissas!$C$71-Premissas!$C$70)</f>
        <v>0.95758333333409995</v>
      </c>
      <c r="D25" s="82">
        <f>(1+Premissas!$C$26)^(1)</f>
        <v>1.08</v>
      </c>
      <c r="E25" s="83">
        <f>Dimensionador!$C$22*(Premissas!$C$70+0.5833333333*(Premissas!$C$71-Premissas!$C$70))*Premissas!$C$21*(1+Premissas!$C$26)^(1)</f>
        <v>19189.713914619497</v>
      </c>
      <c r="F25" s="83">
        <f>Dimensionador!$C$7*Premissas!$C$13*(Premissas!$C$70+0.5833333333*(Premissas!$C$71-Premissas!$C$70))*Premissas!$C$20*(1+Premissas!$C$26)^(1)</f>
        <v>5196.6394005590973</v>
      </c>
      <c r="G25" s="84">
        <f>Dimensionador!$C$7*Premissas!$C$25*(1+Premissas!$C$27)^(1)/12</f>
        <v>1888.3333333333333</v>
      </c>
      <c r="H25" s="85">
        <f>Premissas!$C$59*(1-Premissas!$C$32)^(1)</f>
        <v>54942.65625</v>
      </c>
      <c r="I25" s="85">
        <f>MIN(H25,Dimensionador!$C$7*Premissas!$C$13*(Premissas!$C$70+0.5833333333*(Premissas!$C$71-Premissas!$C$70)))</f>
        <v>7686.8933715877811</v>
      </c>
      <c r="J25" s="85">
        <f t="shared" si="0"/>
        <v>47255.762878412221</v>
      </c>
      <c r="K25" s="83">
        <f>Premissas!$C$35*(1+Premissas!$C$27)^(1)/12</f>
        <v>1019.2708333333334</v>
      </c>
      <c r="L25" s="83">
        <f>E25-F25+(I25+J25)*Premissas!$C$20*(1+Premissas!$C$26)^(1)</f>
        <v>51136.4507049479</v>
      </c>
      <c r="M25" s="83">
        <f t="shared" si="2"/>
        <v>48228.846538281228</v>
      </c>
      <c r="N25" s="83">
        <f t="shared" si="1"/>
        <v>-1373570.2581295783</v>
      </c>
      <c r="O25" s="83">
        <f t="shared" si="3"/>
        <v>913929.74187042157</v>
      </c>
      <c r="P25" s="86" t="str">
        <f t="shared" si="4"/>
        <v/>
      </c>
      <c r="Q25" s="67">
        <f>SUM(M234:M245)</f>
        <v>1994697.7856092053</v>
      </c>
      <c r="R25">
        <f>SUM(I234:I245)</f>
        <v>62862.478802042344</v>
      </c>
    </row>
    <row r="26" spans="1:18" ht="12.75" customHeight="1" x14ac:dyDescent="0.35">
      <c r="A26" s="87">
        <v>2</v>
      </c>
      <c r="B26" s="80" t="s">
        <v>119</v>
      </c>
      <c r="C26" s="81">
        <f>Premissas!$C$70+0.6666666667*(Premissas!$C$71-Premissas!$C$70)</f>
        <v>0.95566666666589994</v>
      </c>
      <c r="D26" s="82">
        <f>(1+Premissas!$C$26)^(1)</f>
        <v>1.08</v>
      </c>
      <c r="E26" s="83">
        <f>Dimensionador!$C$22*(Premissas!$C$70+0.6666666667*(Premissas!$C$71-Premissas!$C$70))*Premissas!$C$21*(1+Premissas!$C$26)^(1)</f>
        <v>19151.304427160703</v>
      </c>
      <c r="F26" s="83">
        <f>Dimensionador!$C$7*Premissas!$C$13*(Premissas!$C$70+0.6666666667*(Premissas!$C$71-Premissas!$C$70))*Premissas!$C$20*(1+Premissas!$C$26)^(1)</f>
        <v>5186.2379815086761</v>
      </c>
      <c r="G26" s="84">
        <f>Dimensionador!$C$7*Premissas!$C$25*(1+Premissas!$C$27)^(1)/12</f>
        <v>1888.3333333333333</v>
      </c>
      <c r="H26" s="85">
        <f>Premissas!$C$60*(1-Premissas!$C$32)^(1)</f>
        <v>53170.3125</v>
      </c>
      <c r="I26" s="85">
        <f>MIN(H26,Dimensionador!$C$7*Premissas!$C$13*(Premissas!$C$70+0.6666666667*(Premissas!$C$71-Premissas!$C$70)))</f>
        <v>7671.5075437496625</v>
      </c>
      <c r="J26" s="85">
        <f t="shared" si="0"/>
        <v>45498.804956250337</v>
      </c>
      <c r="K26" s="83">
        <f>Premissas!$C$35*(1+Premissas!$C$27)^(1)/12</f>
        <v>1019.2708333333334</v>
      </c>
      <c r="L26" s="83">
        <f>E26-F26+(I26+J26)*Premissas!$C$20*(1+Premissas!$C$26)^(1)</f>
        <v>49910.269211027029</v>
      </c>
      <c r="M26" s="83">
        <f t="shared" si="2"/>
        <v>47002.665044360358</v>
      </c>
      <c r="N26" s="83">
        <f t="shared" si="1"/>
        <v>-1326567.593085218</v>
      </c>
      <c r="O26" s="83">
        <f t="shared" si="3"/>
        <v>960932.4069147819</v>
      </c>
      <c r="P26" s="86" t="str">
        <f t="shared" si="4"/>
        <v/>
      </c>
      <c r="Q26" s="67">
        <f t="shared" ref="Q26:Q89" si="5">I26</f>
        <v>7671.5075437496625</v>
      </c>
    </row>
    <row r="27" spans="1:18" ht="12.75" customHeight="1" x14ac:dyDescent="0.35">
      <c r="A27" s="87">
        <v>2</v>
      </c>
      <c r="B27" s="80" t="s">
        <v>120</v>
      </c>
      <c r="C27" s="81">
        <f>Premissas!$C$70+0.75*(Premissas!$C$71-Premissas!$C$70)</f>
        <v>0.95374999999999999</v>
      </c>
      <c r="D27" s="82">
        <f>(1+Premissas!$C$26)^(1)</f>
        <v>1.08</v>
      </c>
      <c r="E27" s="83">
        <f>Dimensionador!$C$22*(Premissas!$C$70+0.75*(Premissas!$C$71-Premissas!$C$70))*Premissas!$C$21*(1+Premissas!$C$26)^(1)</f>
        <v>19112.894939748006</v>
      </c>
      <c r="F27" s="83">
        <f>Dimensionador!$C$7*Premissas!$C$13*(Premissas!$C$70+0.75*(Premissas!$C$71-Premissas!$C$70))*Premissas!$C$20*(1+Premissas!$C$26)^(1)</f>
        <v>5175.8365624707376</v>
      </c>
      <c r="G27" s="84">
        <f>Dimensionador!$C$7*Premissas!$C$25*(1+Premissas!$C$27)^(1)/12</f>
        <v>1888.3333333333333</v>
      </c>
      <c r="H27" s="85">
        <f>Premissas!$C$61*(1-Premissas!$C$32)^(1)</f>
        <v>54942.65625</v>
      </c>
      <c r="I27" s="85">
        <f>MIN(H27,Dimensionador!$C$7*Premissas!$C$13*(Premissas!$C$70+0.75*(Premissas!$C$71-Premissas!$C$70)))</f>
        <v>7656.1217159300077</v>
      </c>
      <c r="J27" s="85">
        <f t="shared" si="0"/>
        <v>47286.534534069993</v>
      </c>
      <c r="K27" s="83">
        <f>Premissas!$C$35*(1+Premissas!$C$27)^(1)/12</f>
        <v>1019.2708333333334</v>
      </c>
      <c r="L27" s="83">
        <f>E27-F27+(I27+J27)*Premissas!$C$20*(1+Premissas!$C$26)^(1)</f>
        <v>51080.434568164768</v>
      </c>
      <c r="M27" s="83">
        <f t="shared" si="2"/>
        <v>48172.830401498097</v>
      </c>
      <c r="N27" s="83">
        <f t="shared" si="1"/>
        <v>-1278394.7626837199</v>
      </c>
      <c r="O27" s="83">
        <f t="shared" si="3"/>
        <v>1009105.23731628</v>
      </c>
      <c r="P27" s="86" t="str">
        <f t="shared" si="4"/>
        <v/>
      </c>
      <c r="Q27" s="67">
        <f t="shared" si="5"/>
        <v>7656.1217159300077</v>
      </c>
    </row>
    <row r="28" spans="1:18" ht="12.75" customHeight="1" x14ac:dyDescent="0.35">
      <c r="A28" s="87">
        <v>2</v>
      </c>
      <c r="B28" s="80" t="s">
        <v>121</v>
      </c>
      <c r="C28" s="81">
        <f>Premissas!$C$70+0.8333333333*(Premissas!$C$71-Premissas!$C$70)</f>
        <v>0.95183333333409992</v>
      </c>
      <c r="D28" s="82">
        <f>(1+Premissas!$C$26)^(1)</f>
        <v>1.08</v>
      </c>
      <c r="E28" s="83">
        <f>Dimensionador!$C$22*(Premissas!$C$70+0.8333333333*(Premissas!$C$71-Premissas!$C$70))*Premissas!$C$21*(1+Premissas!$C$26)^(1)</f>
        <v>19074.485452335299</v>
      </c>
      <c r="F28" s="83">
        <f>Dimensionador!$C$7*Premissas!$C$13*(Premissas!$C$70+0.8333333333*(Premissas!$C$71-Premissas!$C$70))*Premissas!$C$20*(1+Premissas!$C$26)^(1)</f>
        <v>5165.4351434327991</v>
      </c>
      <c r="G28" s="84">
        <f>Dimensionador!$C$7*Premissas!$C$25*(1+Premissas!$C$27)^(1)/12</f>
        <v>1888.3333333333333</v>
      </c>
      <c r="H28" s="85">
        <f>Premissas!$C$62*(1-Premissas!$C$32)^(1)</f>
        <v>53170.3125</v>
      </c>
      <c r="I28" s="85">
        <f>MIN(H28,Dimensionador!$C$7*Premissas!$C$13*(Premissas!$C$70+0.8333333333*(Premissas!$C$71-Premissas!$C$70)))</f>
        <v>7640.7358881103519</v>
      </c>
      <c r="J28" s="85">
        <f t="shared" si="0"/>
        <v>45529.57661188965</v>
      </c>
      <c r="K28" s="83">
        <f>Premissas!$C$35*(1+Premissas!$C$27)^(1)/12</f>
        <v>1019.2708333333334</v>
      </c>
      <c r="L28" s="83">
        <f>E28-F28+(I28+J28)*Premissas!$C$20*(1+Premissas!$C$26)^(1)</f>
        <v>49854.253074277505</v>
      </c>
      <c r="M28" s="83">
        <f t="shared" si="2"/>
        <v>46946.648907610834</v>
      </c>
      <c r="N28" s="83">
        <f t="shared" si="1"/>
        <v>-1231448.1137761089</v>
      </c>
      <c r="O28" s="83">
        <f t="shared" si="3"/>
        <v>1056051.8862238908</v>
      </c>
      <c r="P28" s="86" t="str">
        <f t="shared" si="4"/>
        <v/>
      </c>
      <c r="Q28" s="67">
        <f t="shared" si="5"/>
        <v>7640.7358881103519</v>
      </c>
    </row>
    <row r="29" spans="1:18" ht="12.75" customHeight="1" x14ac:dyDescent="0.35">
      <c r="A29" s="88">
        <v>2</v>
      </c>
      <c r="B29" s="89" t="s">
        <v>122</v>
      </c>
      <c r="C29" s="90">
        <f>Premissas!$C$70+0.9166666667*(Premissas!$C$71-Premissas!$C$70)</f>
        <v>0.94991666666589991</v>
      </c>
      <c r="D29" s="91">
        <f>(1+Premissas!$C$26)^(1)</f>
        <v>1.08</v>
      </c>
      <c r="E29" s="92">
        <f>Dimensionador!$C$22*(Premissas!$C$70+0.9166666667*(Premissas!$C$71-Premissas!$C$70))*Premissas!$C$21*(1+Premissas!$C$26)^(1)</f>
        <v>19036.075964876509</v>
      </c>
      <c r="F29" s="92">
        <f>Dimensionador!$C$7*Premissas!$C$13*(Premissas!$C$70+0.9166666667*(Premissas!$C$71-Premissas!$C$70))*Premissas!$C$20*(1+Premissas!$C$26)^(1)</f>
        <v>5155.0337243823788</v>
      </c>
      <c r="G29" s="93">
        <f>Dimensionador!$C$7*Premissas!$C$25*(1+Premissas!$C$27)^(1)/12</f>
        <v>1888.3333333333333</v>
      </c>
      <c r="H29" s="94">
        <f>Premissas!$C$63*(1-Premissas!$C$32)^(1)</f>
        <v>54942.65625</v>
      </c>
      <c r="I29" s="95">
        <f>MIN(H29,Dimensionador!$C$7*Premissas!$C$13*(Premissas!$C$70+0.9166666667*(Premissas!$C$71-Premissas!$C$70)))</f>
        <v>7625.3500602722343</v>
      </c>
      <c r="J29" s="94">
        <f t="shared" si="0"/>
        <v>47317.306189727766</v>
      </c>
      <c r="K29" s="96">
        <f>Premissas!$C$35*(1+Premissas!$C$27)^(1)/12</f>
        <v>1019.2708333333334</v>
      </c>
      <c r="L29" s="92">
        <f>E29-F29+(I29+J29)*Premissas!$C$20*(1+Premissas!$C$26)^(1)</f>
        <v>51024.418431381637</v>
      </c>
      <c r="M29" s="96">
        <f t="shared" si="2"/>
        <v>48116.814264714965</v>
      </c>
      <c r="N29" s="96">
        <f t="shared" si="1"/>
        <v>-1183331.299511394</v>
      </c>
      <c r="O29" s="96">
        <f t="shared" si="3"/>
        <v>1104168.7004886058</v>
      </c>
      <c r="P29" s="97" t="str">
        <f t="shared" si="4"/>
        <v/>
      </c>
      <c r="Q29" s="67">
        <f t="shared" si="5"/>
        <v>7625.3500602722343</v>
      </c>
    </row>
    <row r="30" spans="1:18" ht="12.75" customHeight="1" x14ac:dyDescent="0.35">
      <c r="A30" s="59">
        <v>3</v>
      </c>
      <c r="B30" s="60" t="s">
        <v>110</v>
      </c>
      <c r="C30" s="61">
        <f>Premissas!$C$71+0*(Premissas!$C$72-Premissas!$C$71)</f>
        <v>0.94799999999999995</v>
      </c>
      <c r="D30" s="62">
        <f>(1+Premissas!$C$26)^(2)</f>
        <v>1.1664000000000001</v>
      </c>
      <c r="E30" s="63">
        <f>Dimensionador!$C$22*(Premissas!$C$71+0*(Premissas!$C$72-Premissas!$C$71))*Premissas!$C$21*(1+Premissas!$C$26)^(2)</f>
        <v>20517.479795660911</v>
      </c>
      <c r="F30" s="63">
        <f>Dimensionador!$C$7*Premissas!$C$13*(Premissas!$C$71+0*(Premissas!$C$72-Premissas!$C$71))*Premissas!$C$20*(1+Premissas!$C$26)^(2)</f>
        <v>5556.2028897719956</v>
      </c>
      <c r="G30" s="64">
        <f>Dimensionador!$C$7*Premissas!$C$25*(1+Premissas!$C$27)^(2)/12</f>
        <v>1944.9833333333333</v>
      </c>
      <c r="H30" s="65">
        <f>Premissas!$C$52*(1-Premissas!$C$32)^(2)</f>
        <v>54667.942968750001</v>
      </c>
      <c r="I30" s="65">
        <f>MIN(H30,Dimensionador!$C$7*Premissas!$C$13*(Premissas!$C$71+0*(Premissas!$C$72-Premissas!$C$71)))</f>
        <v>7609.9642324525794</v>
      </c>
      <c r="J30" s="65">
        <f t="shared" si="0"/>
        <v>47057.978736297424</v>
      </c>
      <c r="K30" s="63">
        <f>Premissas!$C$35*(1+Premissas!$C$27)^(2)/12</f>
        <v>1049.8489583333333</v>
      </c>
      <c r="L30" s="63">
        <f>E30-F30+(I30+J30)*Premissas!$C$20*(1+Premissas!$C$26)^(2)</f>
        <v>54875.54896061663</v>
      </c>
      <c r="M30" s="63">
        <f t="shared" si="2"/>
        <v>51880.716668949965</v>
      </c>
      <c r="N30" s="63">
        <f t="shared" si="1"/>
        <v>-1131450.5828424441</v>
      </c>
      <c r="O30" s="63">
        <f t="shared" si="3"/>
        <v>1156049.4171575557</v>
      </c>
      <c r="P30" s="66" t="str">
        <f t="shared" si="4"/>
        <v/>
      </c>
      <c r="Q30" s="67">
        <f t="shared" si="5"/>
        <v>7609.9642324525794</v>
      </c>
    </row>
    <row r="31" spans="1:18" ht="12.75" customHeight="1" x14ac:dyDescent="0.35">
      <c r="A31" s="68">
        <v>3</v>
      </c>
      <c r="B31" s="60" t="s">
        <v>112</v>
      </c>
      <c r="C31" s="61">
        <f>Premissas!$C$71+0.0833333333*(Premissas!$C$72-Premissas!$C$71)</f>
        <v>0.94625000000069992</v>
      </c>
      <c r="D31" s="62">
        <f>(1+Premissas!$C$26)^(2)</f>
        <v>1.1664000000000001</v>
      </c>
      <c r="E31" s="63">
        <f>Dimensionador!$C$22*(Premissas!$C$71+0.0833333333*(Premissas!$C$72-Premissas!$C$71))*Premissas!$C$21*(1+Premissas!$C$26)^(2)</f>
        <v>20479.604701116557</v>
      </c>
      <c r="F31" s="63">
        <f>Dimensionador!$C$7*Premissas!$C$13*(Premissas!$C$71+0.0833333333*(Premissas!$C$72-Premissas!$C$71))*Premissas!$C$20*(1+Premissas!$C$26)^(2)</f>
        <v>5545.9461861293676</v>
      </c>
      <c r="G31" s="64">
        <f>Dimensionador!$C$7*Premissas!$C$25*(1+Premissas!$C$27)^(2)/12</f>
        <v>1944.9833333333333</v>
      </c>
      <c r="H31" s="65">
        <f>Premissas!$C$53*(1-Premissas!$C$32)^(2)</f>
        <v>49377.496875000004</v>
      </c>
      <c r="I31" s="65">
        <f>MIN(H31,Dimensionador!$C$7*Premissas!$C$13*(Premissas!$C$71+0.0833333333*(Premissas!$C$72-Premissas!$C$71)))</f>
        <v>7595.9163027041977</v>
      </c>
      <c r="J31" s="65">
        <f t="shared" si="0"/>
        <v>41781.580572295803</v>
      </c>
      <c r="K31" s="63">
        <f>Premissas!$C$35*(1+Premissas!$C$27)^(2)/12</f>
        <v>1049.8489583333333</v>
      </c>
      <c r="L31" s="63">
        <f>E31-F31+(I31+J31)*Premissas!$C$20*(1+Premissas!$C$26)^(2)</f>
        <v>50985.259080547701</v>
      </c>
      <c r="M31" s="63">
        <f t="shared" si="2"/>
        <v>47990.426788881035</v>
      </c>
      <c r="N31" s="63">
        <f t="shared" si="1"/>
        <v>-1083460.1560535631</v>
      </c>
      <c r="O31" s="63">
        <f t="shared" si="3"/>
        <v>1204039.8439464367</v>
      </c>
      <c r="P31" s="66" t="str">
        <f t="shared" si="4"/>
        <v/>
      </c>
      <c r="Q31" s="67">
        <f t="shared" si="5"/>
        <v>7595.9163027041977</v>
      </c>
    </row>
    <row r="32" spans="1:18" ht="12.75" customHeight="1" x14ac:dyDescent="0.35">
      <c r="A32" s="68">
        <v>3</v>
      </c>
      <c r="B32" s="60" t="s">
        <v>113</v>
      </c>
      <c r="C32" s="61">
        <f>Premissas!$C$71+0.1666666667*(Premissas!$C$72-Premissas!$C$71)</f>
        <v>0.94449999999930001</v>
      </c>
      <c r="D32" s="62">
        <f>(1+Premissas!$C$26)^(2)</f>
        <v>1.1664000000000001</v>
      </c>
      <c r="E32" s="63">
        <f>Dimensionador!$C$22*(Premissas!$C$71+0.1666666667*(Premissas!$C$72-Premissas!$C$71))*Premissas!$C$21*(1+Premissas!$C$26)^(2)</f>
        <v>20441.729606526762</v>
      </c>
      <c r="F32" s="63">
        <f>Dimensionador!$C$7*Premissas!$C$13*(Premissas!$C$71+0.1666666667*(Premissas!$C$72-Premissas!$C$71))*Premissas!$C$20*(1+Premissas!$C$26)^(2)</f>
        <v>5535.6894824744313</v>
      </c>
      <c r="G32" s="64">
        <f>Dimensionador!$C$7*Premissas!$C$25*(1+Premissas!$C$27)^(2)/12</f>
        <v>1944.9833333333333</v>
      </c>
      <c r="H32" s="65">
        <f>Premissas!$C$54*(1-Premissas!$C$32)^(2)</f>
        <v>54667.942968750001</v>
      </c>
      <c r="I32" s="65">
        <f>MIN(H32,Dimensionador!$C$7*Premissas!$C$13*(Premissas!$C$71+0.1666666667*(Premissas!$C$72-Premissas!$C$71)))</f>
        <v>7581.8683729389604</v>
      </c>
      <c r="J32" s="65">
        <f t="shared" si="0"/>
        <v>47086.074595811042</v>
      </c>
      <c r="K32" s="63">
        <f>Premissas!$C$35*(1+Premissas!$C$27)^(2)/12</f>
        <v>1049.8489583333333</v>
      </c>
      <c r="L32" s="63">
        <f>E32-F32+(I32+J32)*Premissas!$C$20*(1+Premissas!$C$26)^(2)</f>
        <v>54820.312178780048</v>
      </c>
      <c r="M32" s="63">
        <f t="shared" si="2"/>
        <v>51825.479887113383</v>
      </c>
      <c r="N32" s="63">
        <f t="shared" si="1"/>
        <v>-1031634.6761664497</v>
      </c>
      <c r="O32" s="63">
        <f t="shared" si="3"/>
        <v>1255865.3238335501</v>
      </c>
      <c r="P32" s="66" t="str">
        <f t="shared" si="4"/>
        <v/>
      </c>
      <c r="Q32" s="67">
        <f t="shared" si="5"/>
        <v>7581.8683729389604</v>
      </c>
    </row>
    <row r="33" spans="1:17" ht="12.75" customHeight="1" x14ac:dyDescent="0.35">
      <c r="A33" s="68">
        <v>3</v>
      </c>
      <c r="B33" s="60" t="s">
        <v>114</v>
      </c>
      <c r="C33" s="61">
        <f>Premissas!$C$71+0.25*(Premissas!$C$72-Premissas!$C$71)</f>
        <v>0.94274999999999998</v>
      </c>
      <c r="D33" s="62">
        <f>(1+Premissas!$C$26)^(2)</f>
        <v>1.1664000000000001</v>
      </c>
      <c r="E33" s="63">
        <f>Dimensionador!$C$22*(Premissas!$C$71+0.25*(Premissas!$C$72-Premissas!$C$71))*Premissas!$C$21*(1+Premissas!$C$26)^(2)</f>
        <v>20403.854511982412</v>
      </c>
      <c r="F33" s="63">
        <f>Dimensionador!$C$7*Premissas!$C$13*(Premissas!$C$71+0.25*(Premissas!$C$72-Premissas!$C$71))*Premissas!$C$20*(1+Premissas!$C$26)^(2)</f>
        <v>5525.4327788318033</v>
      </c>
      <c r="G33" s="64">
        <f>Dimensionador!$C$7*Premissas!$C$25*(1+Premissas!$C$27)^(2)/12</f>
        <v>1944.9833333333333</v>
      </c>
      <c r="H33" s="65">
        <f>Premissas!$C$55*(1-Premissas!$C$32)^(2)</f>
        <v>52904.4609375</v>
      </c>
      <c r="I33" s="65">
        <f>MIN(H33,Dimensionador!$C$7*Premissas!$C$13*(Premissas!$C$71+0.25*(Premissas!$C$72-Premissas!$C$71)))</f>
        <v>7567.8204431905797</v>
      </c>
      <c r="J33" s="65">
        <f t="shared" si="0"/>
        <v>45336.640494309424</v>
      </c>
      <c r="K33" s="63">
        <f>Premissas!$C$35*(1+Premissas!$C$27)^(2)/12</f>
        <v>1049.8489583333333</v>
      </c>
      <c r="L33" s="63">
        <f>E33-F33+(I33+J33)*Premissas!$C$20*(1+Premissas!$C$26)^(2)</f>
        <v>53505.13662482259</v>
      </c>
      <c r="M33" s="63">
        <f t="shared" si="2"/>
        <v>50510.304333155924</v>
      </c>
      <c r="N33" s="63">
        <f t="shared" si="1"/>
        <v>-981124.3718332937</v>
      </c>
      <c r="O33" s="63">
        <f t="shared" si="3"/>
        <v>1306375.6281667061</v>
      </c>
      <c r="P33" s="66" t="str">
        <f t="shared" si="4"/>
        <v/>
      </c>
      <c r="Q33" s="67">
        <f t="shared" si="5"/>
        <v>7567.8204431905797</v>
      </c>
    </row>
    <row r="34" spans="1:17" ht="12.75" customHeight="1" x14ac:dyDescent="0.35">
      <c r="A34" s="68">
        <v>3</v>
      </c>
      <c r="B34" s="60" t="s">
        <v>115</v>
      </c>
      <c r="C34" s="61">
        <f>Premissas!$C$71+0.3333333333*(Premissas!$C$72-Premissas!$C$71)</f>
        <v>0.94100000000069994</v>
      </c>
      <c r="D34" s="62">
        <f>(1+Premissas!$C$26)^(2)</f>
        <v>1.1664000000000001</v>
      </c>
      <c r="E34" s="63">
        <f>Dimensionador!$C$22*(Premissas!$C$71+0.3333333333*(Premissas!$C$72-Premissas!$C$71))*Premissas!$C$21*(1+Premissas!$C$26)^(2)</f>
        <v>20365.979417438059</v>
      </c>
      <c r="F34" s="63">
        <f>Dimensionador!$C$7*Premissas!$C$13*(Premissas!$C$71+0.3333333333*(Premissas!$C$72-Premissas!$C$71))*Premissas!$C$20*(1+Premissas!$C$26)^(2)</f>
        <v>5515.1760751891734</v>
      </c>
      <c r="G34" s="64">
        <f>Dimensionador!$C$7*Premissas!$C$25*(1+Premissas!$C$27)^(2)/12</f>
        <v>1944.9833333333333</v>
      </c>
      <c r="H34" s="65">
        <f>Premissas!$C$56*(1-Premissas!$C$32)^(2)</f>
        <v>54667.942968750001</v>
      </c>
      <c r="I34" s="65">
        <f>MIN(H34,Dimensionador!$C$7*Premissas!$C$13*(Premissas!$C$71+0.3333333333*(Premissas!$C$72-Premissas!$C$71)))</f>
        <v>7553.772513442198</v>
      </c>
      <c r="J34" s="65">
        <f t="shared" si="0"/>
        <v>47114.170455307802</v>
      </c>
      <c r="K34" s="63">
        <f>Premissas!$C$35*(1+Premissas!$C$27)^(2)/12</f>
        <v>1049.8489583333333</v>
      </c>
      <c r="L34" s="63">
        <f>E34-F34+(I34+J34)*Premissas!$C$20*(1+Premissas!$C$26)^(2)</f>
        <v>54765.075396976594</v>
      </c>
      <c r="M34" s="63">
        <f t="shared" si="2"/>
        <v>51770.243105309928</v>
      </c>
      <c r="N34" s="63">
        <f t="shared" si="1"/>
        <v>-929354.1287279838</v>
      </c>
      <c r="O34" s="63">
        <f t="shared" si="3"/>
        <v>1358145.8712720161</v>
      </c>
      <c r="P34" s="66" t="str">
        <f t="shared" si="4"/>
        <v/>
      </c>
      <c r="Q34" s="67">
        <f t="shared" si="5"/>
        <v>7553.772513442198</v>
      </c>
    </row>
    <row r="35" spans="1:17" ht="12.75" customHeight="1" x14ac:dyDescent="0.35">
      <c r="A35" s="68">
        <v>3</v>
      </c>
      <c r="B35" s="60" t="s">
        <v>116</v>
      </c>
      <c r="C35" s="61">
        <f>Premissas!$C$71+0.4166666667*(Premissas!$C$72-Premissas!$C$71)</f>
        <v>0.93924999999930003</v>
      </c>
      <c r="D35" s="62">
        <f>(1+Premissas!$C$26)^(2)</f>
        <v>1.1664000000000001</v>
      </c>
      <c r="E35" s="63">
        <f>Dimensionador!$C$22*(Premissas!$C$71+0.4166666667*(Premissas!$C$72-Premissas!$C$71))*Premissas!$C$21*(1+Premissas!$C$26)^(2)</f>
        <v>20328.104322848259</v>
      </c>
      <c r="F35" s="63">
        <f>Dimensionador!$C$7*Premissas!$C$13*(Premissas!$C$71+0.4166666667*(Premissas!$C$72-Premissas!$C$71))*Premissas!$C$20*(1+Premissas!$C$26)^(2)</f>
        <v>5504.9193715342381</v>
      </c>
      <c r="G35" s="64">
        <f>Dimensionador!$C$7*Premissas!$C$25*(1+Premissas!$C$27)^(2)/12</f>
        <v>1944.9833333333333</v>
      </c>
      <c r="H35" s="65">
        <f>Premissas!$C$57*(1-Premissas!$C$32)^(2)</f>
        <v>52904.4609375</v>
      </c>
      <c r="I35" s="65">
        <f>MIN(H35,Dimensionador!$C$7*Premissas!$C$13*(Premissas!$C$71+0.4166666667*(Premissas!$C$72-Premissas!$C$71)))</f>
        <v>7539.7245836769607</v>
      </c>
      <c r="J35" s="65">
        <f t="shared" si="0"/>
        <v>45364.736353823042</v>
      </c>
      <c r="K35" s="63">
        <f>Premissas!$C$35*(1+Premissas!$C$27)^(2)/12</f>
        <v>1049.8489583333333</v>
      </c>
      <c r="L35" s="63">
        <f>E35-F35+(I35+J35)*Premissas!$C$20*(1+Premissas!$C$26)^(2)</f>
        <v>53449.899842986008</v>
      </c>
      <c r="M35" s="63">
        <f t="shared" si="2"/>
        <v>50455.067551319342</v>
      </c>
      <c r="N35" s="63">
        <f t="shared" si="1"/>
        <v>-878899.06117666443</v>
      </c>
      <c r="O35" s="63">
        <f t="shared" si="3"/>
        <v>1408600.9388233353</v>
      </c>
      <c r="P35" s="66" t="str">
        <f t="shared" si="4"/>
        <v/>
      </c>
      <c r="Q35" s="67">
        <f t="shared" si="5"/>
        <v>7539.7245836769607</v>
      </c>
    </row>
    <row r="36" spans="1:17" ht="12.75" customHeight="1" x14ac:dyDescent="0.35">
      <c r="A36" s="68">
        <v>3</v>
      </c>
      <c r="B36" s="60" t="s">
        <v>117</v>
      </c>
      <c r="C36" s="61">
        <f>Premissas!$C$71+0.5*(Premissas!$C$72-Premissas!$C$71)</f>
        <v>0.9375</v>
      </c>
      <c r="D36" s="62">
        <f>(1+Premissas!$C$26)^(2)</f>
        <v>1.1664000000000001</v>
      </c>
      <c r="E36" s="63">
        <f>Dimensionador!$C$22*(Premissas!$C$71+0.5*(Premissas!$C$72-Premissas!$C$71))*Premissas!$C$21*(1+Premissas!$C$26)^(2)</f>
        <v>20290.22922830391</v>
      </c>
      <c r="F36" s="63">
        <f>Dimensionador!$C$7*Premissas!$C$13*(Premissas!$C$71+0.5*(Premissas!$C$72-Premissas!$C$71))*Premissas!$C$20*(1+Premissas!$C$26)^(2)</f>
        <v>5494.66266789161</v>
      </c>
      <c r="G36" s="64">
        <f>Dimensionador!$C$7*Premissas!$C$25*(1+Premissas!$C$27)^(2)/12</f>
        <v>1944.9833333333333</v>
      </c>
      <c r="H36" s="65">
        <f>Premissas!$C$58*(1-Premissas!$C$32)^(2)</f>
        <v>54667.942968750001</v>
      </c>
      <c r="I36" s="65">
        <f>MIN(H36,Dimensionador!$C$7*Premissas!$C$13*(Premissas!$C$71+0.5*(Premissas!$C$72-Premissas!$C$71)))</f>
        <v>7525.6766539285791</v>
      </c>
      <c r="J36" s="65">
        <f t="shared" si="0"/>
        <v>47142.26631482142</v>
      </c>
      <c r="K36" s="63">
        <f>Premissas!$C$35*(1+Premissas!$C$27)^(2)/12</f>
        <v>1049.8489583333333</v>
      </c>
      <c r="L36" s="63">
        <f>E36-F36+(I36+J36)*Premissas!$C$20*(1+Premissas!$C$26)^(2)</f>
        <v>54709.838615140012</v>
      </c>
      <c r="M36" s="63">
        <f t="shared" si="2"/>
        <v>51715.006323473346</v>
      </c>
      <c r="N36" s="63">
        <f t="shared" si="1"/>
        <v>-827184.05485319113</v>
      </c>
      <c r="O36" s="63">
        <f t="shared" si="3"/>
        <v>1460315.9451468086</v>
      </c>
      <c r="P36" s="66" t="str">
        <f t="shared" si="4"/>
        <v/>
      </c>
      <c r="Q36" s="67">
        <f t="shared" si="5"/>
        <v>7525.6766539285791</v>
      </c>
    </row>
    <row r="37" spans="1:17" ht="12.75" customHeight="1" x14ac:dyDescent="0.35">
      <c r="A37" s="68">
        <v>3</v>
      </c>
      <c r="B37" s="60" t="s">
        <v>118</v>
      </c>
      <c r="C37" s="61">
        <f>Premissas!$C$71+0.5833333333*(Premissas!$C$72-Premissas!$C$71)</f>
        <v>0.93575000000069997</v>
      </c>
      <c r="D37" s="62">
        <f>(1+Premissas!$C$26)^(2)</f>
        <v>1.1664000000000001</v>
      </c>
      <c r="E37" s="63">
        <f>Dimensionador!$C$22*(Premissas!$C$71+0.5833333333*(Premissas!$C$72-Premissas!$C$71))*Premissas!$C$21*(1+Premissas!$C$26)^(2)</f>
        <v>20252.35413375956</v>
      </c>
      <c r="F37" s="63">
        <f>Dimensionador!$C$7*Premissas!$C$13*(Premissas!$C$71+0.5833333333*(Premissas!$C$72-Premissas!$C$71))*Premissas!$C$20*(1+Premissas!$C$26)^(2)</f>
        <v>5484.405964248981</v>
      </c>
      <c r="G37" s="64">
        <f>Dimensionador!$C$7*Premissas!$C$25*(1+Premissas!$C$27)^(2)/12</f>
        <v>1944.9833333333333</v>
      </c>
      <c r="H37" s="65">
        <f>Premissas!$C$59*(1-Premissas!$C$32)^(2)</f>
        <v>54667.942968750001</v>
      </c>
      <c r="I37" s="65">
        <f>MIN(H37,Dimensionador!$C$7*Premissas!$C$13*(Premissas!$C$71+0.5833333333*(Premissas!$C$72-Premissas!$C$71)))</f>
        <v>7511.6287241801983</v>
      </c>
      <c r="J37" s="65">
        <f t="shared" si="0"/>
        <v>47156.314244569803</v>
      </c>
      <c r="K37" s="63">
        <f>Premissas!$C$35*(1+Premissas!$C$27)^(2)/12</f>
        <v>1049.8489583333333</v>
      </c>
      <c r="L37" s="63">
        <f>E37-F37+(I37+J37)*Premissas!$C$20*(1+Premissas!$C$26)^(2)</f>
        <v>54682.220224238292</v>
      </c>
      <c r="M37" s="63">
        <f t="shared" si="2"/>
        <v>51687.387932571626</v>
      </c>
      <c r="N37" s="63">
        <f t="shared" si="1"/>
        <v>-775496.66692061955</v>
      </c>
      <c r="O37" s="63">
        <f t="shared" si="3"/>
        <v>1512003.3330793802</v>
      </c>
      <c r="P37" s="66" t="str">
        <f t="shared" si="4"/>
        <v/>
      </c>
      <c r="Q37" s="67">
        <f t="shared" si="5"/>
        <v>7511.6287241801983</v>
      </c>
    </row>
    <row r="38" spans="1:17" ht="12.75" customHeight="1" x14ac:dyDescent="0.35">
      <c r="A38" s="68">
        <v>3</v>
      </c>
      <c r="B38" s="60" t="s">
        <v>119</v>
      </c>
      <c r="C38" s="61">
        <f>Premissas!$C$71+0.6666666667*(Premissas!$C$72-Premissas!$C$71)</f>
        <v>0.93399999999930006</v>
      </c>
      <c r="D38" s="62">
        <f>(1+Premissas!$C$26)^(2)</f>
        <v>1.1664000000000001</v>
      </c>
      <c r="E38" s="63">
        <f>Dimensionador!$C$22*(Premissas!$C$71+0.6666666667*(Premissas!$C$72-Premissas!$C$71))*Premissas!$C$21*(1+Premissas!$C$26)^(2)</f>
        <v>20214.479039169761</v>
      </c>
      <c r="F38" s="63">
        <f>Dimensionador!$C$7*Premissas!$C$13*(Premissas!$C$71+0.6666666667*(Premissas!$C$72-Premissas!$C$71))*Premissas!$C$20*(1+Premissas!$C$26)^(2)</f>
        <v>5474.1492605940457</v>
      </c>
      <c r="G38" s="64">
        <f>Dimensionador!$C$7*Premissas!$C$25*(1+Premissas!$C$27)^(2)/12</f>
        <v>1944.9833333333333</v>
      </c>
      <c r="H38" s="65">
        <f>Premissas!$C$60*(1-Premissas!$C$32)^(2)</f>
        <v>52904.4609375</v>
      </c>
      <c r="I38" s="65">
        <f>MIN(H38,Dimensionador!$C$7*Premissas!$C$13*(Premissas!$C$71+0.6666666667*(Premissas!$C$72-Premissas!$C$71)))</f>
        <v>7497.580794414961</v>
      </c>
      <c r="J38" s="65">
        <f t="shared" si="0"/>
        <v>45406.880143085036</v>
      </c>
      <c r="K38" s="63">
        <f>Premissas!$C$35*(1+Premissas!$C$27)^(2)/12</f>
        <v>1049.8489583333333</v>
      </c>
      <c r="L38" s="63">
        <f>E38-F38+(I38+J38)*Premissas!$C$20*(1+Premissas!$C$26)^(2)</f>
        <v>53367.044670247698</v>
      </c>
      <c r="M38" s="63">
        <f t="shared" si="2"/>
        <v>50372.212378581033</v>
      </c>
      <c r="N38" s="63">
        <f t="shared" si="1"/>
        <v>-725124.4545420385</v>
      </c>
      <c r="O38" s="63">
        <f t="shared" si="3"/>
        <v>1562375.5454579613</v>
      </c>
      <c r="P38" s="66" t="str">
        <f t="shared" si="4"/>
        <v/>
      </c>
      <c r="Q38" s="67">
        <f t="shared" si="5"/>
        <v>7497.580794414961</v>
      </c>
    </row>
    <row r="39" spans="1:17" ht="12.75" customHeight="1" x14ac:dyDescent="0.35">
      <c r="A39" s="68">
        <v>3</v>
      </c>
      <c r="B39" s="60" t="s">
        <v>120</v>
      </c>
      <c r="C39" s="61">
        <f>Premissas!$C$71+0.75*(Premissas!$C$72-Premissas!$C$71)</f>
        <v>0.93225000000000002</v>
      </c>
      <c r="D39" s="62">
        <f>(1+Premissas!$C$26)^(2)</f>
        <v>1.1664000000000001</v>
      </c>
      <c r="E39" s="63">
        <f>Dimensionador!$C$22*(Premissas!$C$71+0.75*(Premissas!$C$72-Premissas!$C$71))*Premissas!$C$21*(1+Premissas!$C$26)^(2)</f>
        <v>20176.603944625407</v>
      </c>
      <c r="F39" s="63">
        <f>Dimensionador!$C$7*Premissas!$C$13*(Premissas!$C$71+0.75*(Premissas!$C$72-Premissas!$C$71))*Premissas!$C$20*(1+Premissas!$C$26)^(2)</f>
        <v>5463.8925569514176</v>
      </c>
      <c r="G39" s="64">
        <f>Dimensionador!$C$7*Premissas!$C$25*(1+Premissas!$C$27)^(2)/12</f>
        <v>1944.9833333333333</v>
      </c>
      <c r="H39" s="65">
        <f>Premissas!$C$61*(1-Premissas!$C$32)^(2)</f>
        <v>54667.942968750001</v>
      </c>
      <c r="I39" s="65">
        <f>MIN(H39,Dimensionador!$C$7*Premissas!$C$13*(Premissas!$C$71+0.75*(Premissas!$C$72-Premissas!$C$71)))</f>
        <v>7483.5328646665794</v>
      </c>
      <c r="J39" s="65">
        <f t="shared" si="0"/>
        <v>47184.410104083421</v>
      </c>
      <c r="K39" s="63">
        <f>Premissas!$C$35*(1+Premissas!$C$27)^(2)/12</f>
        <v>1049.8489583333333</v>
      </c>
      <c r="L39" s="63">
        <f>E39-F39+(I39+J39)*Premissas!$C$20*(1+Premissas!$C$26)^(2)</f>
        <v>54626.983442401703</v>
      </c>
      <c r="M39" s="63">
        <f t="shared" si="2"/>
        <v>51632.151150735037</v>
      </c>
      <c r="N39" s="63">
        <f t="shared" si="1"/>
        <v>-673492.3033913034</v>
      </c>
      <c r="O39" s="63">
        <f t="shared" si="3"/>
        <v>1614007.6966086964</v>
      </c>
      <c r="P39" s="66" t="str">
        <f t="shared" si="4"/>
        <v/>
      </c>
      <c r="Q39" s="67">
        <f t="shared" si="5"/>
        <v>7483.5328646665794</v>
      </c>
    </row>
    <row r="40" spans="1:17" ht="12.75" customHeight="1" x14ac:dyDescent="0.35">
      <c r="A40" s="68">
        <v>3</v>
      </c>
      <c r="B40" s="60" t="s">
        <v>121</v>
      </c>
      <c r="C40" s="61">
        <f>Premissas!$C$71+0.8333333333*(Premissas!$C$72-Premissas!$C$71)</f>
        <v>0.93050000000069999</v>
      </c>
      <c r="D40" s="62">
        <f>(1+Premissas!$C$26)^(2)</f>
        <v>1.1664000000000001</v>
      </c>
      <c r="E40" s="63">
        <f>Dimensionador!$C$22*(Premissas!$C$71+0.8333333333*(Premissas!$C$72-Premissas!$C$71))*Premissas!$C$21*(1+Premissas!$C$26)^(2)</f>
        <v>20138.728850081057</v>
      </c>
      <c r="F40" s="63">
        <f>Dimensionador!$C$7*Premissas!$C$13*(Premissas!$C$71+0.8333333333*(Premissas!$C$72-Premissas!$C$71))*Premissas!$C$20*(1+Premissas!$C$26)^(2)</f>
        <v>5453.6358533087887</v>
      </c>
      <c r="G40" s="64">
        <f>Dimensionador!$C$7*Premissas!$C$25*(1+Premissas!$C$27)^(2)/12</f>
        <v>1944.9833333333333</v>
      </c>
      <c r="H40" s="65">
        <f>Premissas!$C$62*(1-Premissas!$C$32)^(2)</f>
        <v>52904.4609375</v>
      </c>
      <c r="I40" s="65">
        <f>MIN(H40,Dimensionador!$C$7*Premissas!$C$13*(Premissas!$C$71+0.8333333333*(Premissas!$C$72-Premissas!$C$71)))</f>
        <v>7469.4849349181986</v>
      </c>
      <c r="J40" s="65">
        <f t="shared" si="0"/>
        <v>45434.976002581803</v>
      </c>
      <c r="K40" s="63">
        <f>Premissas!$C$35*(1+Premissas!$C$27)^(2)/12</f>
        <v>1049.8489583333333</v>
      </c>
      <c r="L40" s="63">
        <f>E40-F40+(I40+J40)*Premissas!$C$20*(1+Premissas!$C$26)^(2)</f>
        <v>53311.807888444251</v>
      </c>
      <c r="M40" s="63">
        <f t="shared" si="2"/>
        <v>50316.975596777585</v>
      </c>
      <c r="N40" s="63">
        <f t="shared" si="1"/>
        <v>-623175.32779452577</v>
      </c>
      <c r="O40" s="63">
        <f t="shared" si="3"/>
        <v>1664324.672205474</v>
      </c>
      <c r="P40" s="66" t="str">
        <f t="shared" si="4"/>
        <v/>
      </c>
      <c r="Q40" s="67">
        <f t="shared" si="5"/>
        <v>7469.4849349181986</v>
      </c>
    </row>
    <row r="41" spans="1:17" ht="12.75" customHeight="1" x14ac:dyDescent="0.35">
      <c r="A41" s="69">
        <v>3</v>
      </c>
      <c r="B41" s="70" t="s">
        <v>122</v>
      </c>
      <c r="C41" s="71">
        <f>Premissas!$C$71+0.9166666667*(Premissas!$C$72-Premissas!$C$71)</f>
        <v>0.92874999999930008</v>
      </c>
      <c r="D41" s="72">
        <f>(1+Premissas!$C$26)^(2)</f>
        <v>1.1664000000000001</v>
      </c>
      <c r="E41" s="73">
        <f>Dimensionador!$C$22*(Premissas!$C$71+0.9166666667*(Premissas!$C$72-Premissas!$C$71))*Premissas!$C$21*(1+Premissas!$C$26)^(2)</f>
        <v>20100.853755491262</v>
      </c>
      <c r="F41" s="73">
        <f>Dimensionador!$C$7*Premissas!$C$13*(Premissas!$C$71+0.9166666667*(Premissas!$C$72-Premissas!$C$71))*Premissas!$C$20*(1+Premissas!$C$26)^(2)</f>
        <v>5443.3791496538524</v>
      </c>
      <c r="G41" s="74">
        <f>Dimensionador!$C$7*Premissas!$C$25*(1+Premissas!$C$27)^(2)/12</f>
        <v>1944.9833333333333</v>
      </c>
      <c r="H41" s="75">
        <f>Premissas!$C$63*(1-Premissas!$C$32)^(2)</f>
        <v>54667.942968750001</v>
      </c>
      <c r="I41" s="76">
        <f>MIN(H41,Dimensionador!$C$7*Premissas!$C$13*(Premissas!$C$71+0.9166666667*(Premissas!$C$72-Premissas!$C$71)))</f>
        <v>7455.4370051529604</v>
      </c>
      <c r="J41" s="75">
        <f t="shared" si="0"/>
        <v>47212.505963597039</v>
      </c>
      <c r="K41" s="77">
        <f>Premissas!$C$35*(1+Premissas!$C$27)^(2)/12</f>
        <v>1049.8489583333333</v>
      </c>
      <c r="L41" s="73">
        <f>E41-F41+(I41+J41)*Premissas!$C$20*(1+Premissas!$C$26)^(2)</f>
        <v>54571.746660565121</v>
      </c>
      <c r="M41" s="77">
        <f t="shared" si="2"/>
        <v>51576.914368898455</v>
      </c>
      <c r="N41" s="77">
        <f t="shared" si="1"/>
        <v>-571598.41342562728</v>
      </c>
      <c r="O41" s="77">
        <f t="shared" si="3"/>
        <v>1715901.5865743724</v>
      </c>
      <c r="P41" s="78" t="str">
        <f t="shared" si="4"/>
        <v/>
      </c>
      <c r="Q41" s="67">
        <f t="shared" si="5"/>
        <v>7455.4370051529604</v>
      </c>
    </row>
    <row r="42" spans="1:17" ht="12.75" customHeight="1" x14ac:dyDescent="0.35">
      <c r="A42" s="79">
        <v>4</v>
      </c>
      <c r="B42" s="80" t="s">
        <v>110</v>
      </c>
      <c r="C42" s="81">
        <f>Premissas!$C$72+0*(Premissas!$C$73-Premissas!$C$72)</f>
        <v>0.92700000000000005</v>
      </c>
      <c r="D42" s="82">
        <f>(1+Premissas!$C$26)^(3)</f>
        <v>1.2597120000000002</v>
      </c>
      <c r="E42" s="83">
        <f>Dimensionador!$C$22*(Premissas!$C$72+0*(Premissas!$C$73-Premissas!$C$72))*Premissas!$C$21*(1+Premissas!$C$26)^(3)</f>
        <v>21668.016953822658</v>
      </c>
      <c r="F42" s="83">
        <f>Dimensionador!$C$7*Premissas!$C$13*(Premissas!$C$72+0*(Premissas!$C$73-Premissas!$C$72))*Premissas!$C$20*(1+Premissas!$C$26)^(3)</f>
        <v>5867.7722416921224</v>
      </c>
      <c r="G42" s="84">
        <f>Dimensionador!$C$7*Premissas!$C$25*(1+Premissas!$C$27)^(3)/12</f>
        <v>2003.3328333333332</v>
      </c>
      <c r="H42" s="85">
        <f>Premissas!$C$52*(1-Premissas!$C$32)^(3)</f>
        <v>54394.603253906251</v>
      </c>
      <c r="I42" s="85">
        <f>MIN(H42,Dimensionador!$C$7*Premissas!$C$13*(Premissas!$C$72+0*(Premissas!$C$73-Premissas!$C$72)))</f>
        <v>7441.3890754045797</v>
      </c>
      <c r="J42" s="85">
        <f t="shared" si="0"/>
        <v>46953.214178501672</v>
      </c>
      <c r="K42" s="83">
        <f>Premissas!$C$35*(1+Premissas!$C$27)^(3)/12</f>
        <v>1081.3444270833334</v>
      </c>
      <c r="L42" s="83">
        <f>E42-F42+(I42+J42)*Premissas!$C$20*(1+Premissas!$C$26)^(3)</f>
        <v>58692.121462140938</v>
      </c>
      <c r="M42" s="83">
        <f t="shared" si="2"/>
        <v>55607.444201724269</v>
      </c>
      <c r="N42" s="83">
        <f t="shared" si="1"/>
        <v>-515990.96922390303</v>
      </c>
      <c r="O42" s="83">
        <f t="shared" si="3"/>
        <v>1771509.0307760967</v>
      </c>
      <c r="P42" s="86" t="str">
        <f t="shared" si="4"/>
        <v/>
      </c>
      <c r="Q42" s="67">
        <f t="shared" si="5"/>
        <v>7441.3890754045797</v>
      </c>
    </row>
    <row r="43" spans="1:17" ht="12.75" customHeight="1" x14ac:dyDescent="0.35">
      <c r="A43" s="87">
        <v>4</v>
      </c>
      <c r="B43" s="80" t="s">
        <v>112</v>
      </c>
      <c r="C43" s="81">
        <f>Premissas!$C$72+0.0833333333*(Premissas!$C$73-Premissas!$C$72)</f>
        <v>0.92533333333400003</v>
      </c>
      <c r="D43" s="82">
        <f>(1+Premissas!$C$26)^(3)</f>
        <v>1.2597120000000002</v>
      </c>
      <c r="E43" s="83">
        <f>Dimensionador!$C$22*(Premissas!$C$72+0.0833333333*(Premissas!$C$73-Premissas!$C$72))*Premissas!$C$21*(1+Premissas!$C$26)^(3)</f>
        <v>21629.0597137199</v>
      </c>
      <c r="F43" s="83">
        <f>Dimensionador!$C$7*Premissas!$C$13*(Premissas!$C$72+0.0833333333*(Premissas!$C$73-Premissas!$C$72))*Premissas!$C$20*(1+Premissas!$C$26)^(3)</f>
        <v>5857.2224893739894</v>
      </c>
      <c r="G43" s="84">
        <f>Dimensionador!$C$7*Premissas!$C$25*(1+Premissas!$C$27)^(3)/12</f>
        <v>2003.3328333333332</v>
      </c>
      <c r="H43" s="85">
        <f>Premissas!$C$53*(1-Premissas!$C$32)^(3)</f>
        <v>49130.609390625003</v>
      </c>
      <c r="I43" s="85">
        <f>MIN(H43,Dimensionador!$C$7*Premissas!$C$13*(Premissas!$C$72+0.0833333333*(Premissas!$C$73-Premissas!$C$72)))</f>
        <v>7428.0100946918355</v>
      </c>
      <c r="J43" s="85">
        <f t="shared" si="0"/>
        <v>41702.599295933163</v>
      </c>
      <c r="K43" s="83">
        <f>Premissas!$C$35*(1+Premissas!$C$27)^(3)/12</f>
        <v>1081.3444270833334</v>
      </c>
      <c r="L43" s="83">
        <f>E43-F43+(I43+J43)*Premissas!$C$20*(1+Premissas!$C$26)^(3)</f>
        <v>54512.887192097245</v>
      </c>
      <c r="M43" s="83">
        <f t="shared" si="2"/>
        <v>51428.209931680576</v>
      </c>
      <c r="N43" s="83">
        <f t="shared" si="1"/>
        <v>-464562.75929222244</v>
      </c>
      <c r="O43" s="83">
        <f t="shared" si="3"/>
        <v>1822937.2407077772</v>
      </c>
      <c r="P43" s="86" t="str">
        <f t="shared" si="4"/>
        <v/>
      </c>
      <c r="Q43" s="67">
        <f t="shared" si="5"/>
        <v>7428.0100946918355</v>
      </c>
    </row>
    <row r="44" spans="1:17" ht="12.75" customHeight="1" x14ac:dyDescent="0.35">
      <c r="A44" s="87">
        <v>4</v>
      </c>
      <c r="B44" s="80" t="s">
        <v>113</v>
      </c>
      <c r="C44" s="81">
        <f>Premissas!$C$72+0.1666666667*(Premissas!$C$73-Premissas!$C$72)</f>
        <v>0.92366666666600006</v>
      </c>
      <c r="D44" s="82">
        <f>(1+Premissas!$C$26)^(3)</f>
        <v>1.2597120000000002</v>
      </c>
      <c r="E44" s="83">
        <f>Dimensionador!$C$22*(Premissas!$C$72+0.1666666667*(Premissas!$C$73-Premissas!$C$72))*Premissas!$C$21*(1+Premissas!$C$26)^(3)</f>
        <v>21590.10247357039</v>
      </c>
      <c r="F44" s="83">
        <f>Dimensionador!$C$7*Premissas!$C$13*(Premissas!$C$72+0.1666666667*(Premissas!$C$73-Premissas!$C$72))*Premissas!$C$20*(1+Premissas!$C$26)^(3)</f>
        <v>5846.672737043199</v>
      </c>
      <c r="G44" s="84">
        <f>Dimensionador!$C$7*Premissas!$C$25*(1+Premissas!$C$27)^(3)/12</f>
        <v>2003.3328333333332</v>
      </c>
      <c r="H44" s="85">
        <f>Premissas!$C$54*(1-Premissas!$C$32)^(3)</f>
        <v>54394.603253906251</v>
      </c>
      <c r="I44" s="85">
        <f>MIN(H44,Dimensionador!$C$7*Premissas!$C$13*(Premissas!$C$72+0.1666666667*(Premissas!$C$73-Premissas!$C$72)))</f>
        <v>7414.6311139630379</v>
      </c>
      <c r="J44" s="85">
        <f t="shared" si="0"/>
        <v>46979.972139943216</v>
      </c>
      <c r="K44" s="83">
        <f>Premissas!$C$35*(1+Premissas!$C$27)^(3)/12</f>
        <v>1081.3444270833334</v>
      </c>
      <c r="L44" s="83">
        <f>E44-F44+(I44+J44)*Premissas!$C$20*(1+Premissas!$C$26)^(3)</f>
        <v>58635.3064865376</v>
      </c>
      <c r="M44" s="83">
        <f t="shared" si="2"/>
        <v>55550.629226120931</v>
      </c>
      <c r="N44" s="83">
        <f t="shared" si="1"/>
        <v>-409012.1300661015</v>
      </c>
      <c r="O44" s="83">
        <f t="shared" si="3"/>
        <v>1878487.8699338981</v>
      </c>
      <c r="P44" s="86" t="str">
        <f t="shared" si="4"/>
        <v/>
      </c>
      <c r="Q44" s="67">
        <f t="shared" si="5"/>
        <v>7414.6311139630379</v>
      </c>
    </row>
    <row r="45" spans="1:17" ht="12.75" customHeight="1" x14ac:dyDescent="0.35">
      <c r="A45" s="87">
        <v>4</v>
      </c>
      <c r="B45" s="80" t="s">
        <v>114</v>
      </c>
      <c r="C45" s="81">
        <f>Premissas!$C$72+0.25*(Premissas!$C$73-Premissas!$C$72)</f>
        <v>0.92200000000000004</v>
      </c>
      <c r="D45" s="82">
        <f>(1+Premissas!$C$26)^(3)</f>
        <v>1.2597120000000002</v>
      </c>
      <c r="E45" s="83">
        <f>Dimensionador!$C$22*(Premissas!$C$72+0.25*(Premissas!$C$73-Premissas!$C$72))*Premissas!$C$21*(1+Premissas!$C$26)^(3)</f>
        <v>21551.145233467629</v>
      </c>
      <c r="F45" s="83">
        <f>Dimensionador!$C$7*Premissas!$C$13*(Premissas!$C$72+0.25*(Premissas!$C$73-Premissas!$C$72))*Premissas!$C$20*(1+Premissas!$C$26)^(3)</f>
        <v>5836.122984725067</v>
      </c>
      <c r="G45" s="84">
        <f>Dimensionador!$C$7*Premissas!$C$25*(1+Premissas!$C$27)^(3)/12</f>
        <v>2003.3328333333332</v>
      </c>
      <c r="H45" s="85">
        <f>Premissas!$C$55*(1-Premissas!$C$32)^(3)</f>
        <v>52639.938632812504</v>
      </c>
      <c r="I45" s="85">
        <f>MIN(H45,Dimensionador!$C$7*Premissas!$C$13*(Premissas!$C$72+0.25*(Premissas!$C$73-Premissas!$C$72)))</f>
        <v>7401.2521332502938</v>
      </c>
      <c r="J45" s="85">
        <f t="shared" si="0"/>
        <v>45238.686499562209</v>
      </c>
      <c r="K45" s="83">
        <f>Premissas!$C$35*(1+Premissas!$C$27)^(3)/12</f>
        <v>1081.3444270833334</v>
      </c>
      <c r="L45" s="83">
        <f>E45-F45+(I45+J45)*Premissas!$C$20*(1+Premissas!$C$26)^(3)</f>
        <v>57223.290071333271</v>
      </c>
      <c r="M45" s="83">
        <f t="shared" si="2"/>
        <v>54138.612810916602</v>
      </c>
      <c r="N45" s="83">
        <f t="shared" si="1"/>
        <v>-354873.51725518488</v>
      </c>
      <c r="O45" s="83">
        <f t="shared" si="3"/>
        <v>1932626.4827448146</v>
      </c>
      <c r="P45" s="86" t="str">
        <f t="shared" si="4"/>
        <v/>
      </c>
      <c r="Q45" s="67">
        <f t="shared" si="5"/>
        <v>7401.2521332502938</v>
      </c>
    </row>
    <row r="46" spans="1:17" ht="12.75" customHeight="1" x14ac:dyDescent="0.35">
      <c r="A46" s="87">
        <v>4</v>
      </c>
      <c r="B46" s="80" t="s">
        <v>115</v>
      </c>
      <c r="C46" s="81">
        <f>Premissas!$C$72+0.3333333333*(Premissas!$C$73-Premissas!$C$72)</f>
        <v>0.92033333333400003</v>
      </c>
      <c r="D46" s="82">
        <f>(1+Premissas!$C$26)^(3)</f>
        <v>1.2597120000000002</v>
      </c>
      <c r="E46" s="83">
        <f>Dimensionador!$C$22*(Premissas!$C$72+0.3333333333*(Premissas!$C$73-Premissas!$C$72))*Premissas!$C$21*(1+Premissas!$C$26)^(3)</f>
        <v>21512.187993364867</v>
      </c>
      <c r="F46" s="83">
        <f>Dimensionador!$C$7*Premissas!$C$13*(Premissas!$C$72+0.3333333333*(Premissas!$C$73-Premissas!$C$72))*Premissas!$C$20*(1+Premissas!$C$26)^(3)</f>
        <v>5825.5732324069349</v>
      </c>
      <c r="G46" s="84">
        <f>Dimensionador!$C$7*Premissas!$C$25*(1+Premissas!$C$27)^(3)/12</f>
        <v>2003.3328333333332</v>
      </c>
      <c r="H46" s="85">
        <f>Premissas!$C$56*(1-Premissas!$C$32)^(3)</f>
        <v>54394.603253906251</v>
      </c>
      <c r="I46" s="85">
        <f>MIN(H46,Dimensionador!$C$7*Premissas!$C$13*(Premissas!$C$72+0.3333333333*(Premissas!$C$73-Premissas!$C$72)))</f>
        <v>7387.8731525375506</v>
      </c>
      <c r="J46" s="85">
        <f t="shared" si="0"/>
        <v>47006.730101368703</v>
      </c>
      <c r="K46" s="83">
        <f>Premissas!$C$35*(1+Premissas!$C$27)^(3)/12</f>
        <v>1081.3444270833334</v>
      </c>
      <c r="L46" s="83">
        <f>E46-F46+(I46+J46)*Premissas!$C$20*(1+Premissas!$C$26)^(3)</f>
        <v>58578.491510968335</v>
      </c>
      <c r="M46" s="83">
        <f t="shared" si="2"/>
        <v>55493.814250551666</v>
      </c>
      <c r="N46" s="83">
        <f t="shared" si="1"/>
        <v>-299379.70300463319</v>
      </c>
      <c r="O46" s="83">
        <f t="shared" si="3"/>
        <v>1988120.2969953662</v>
      </c>
      <c r="P46" s="86" t="str">
        <f t="shared" si="4"/>
        <v/>
      </c>
      <c r="Q46" s="67">
        <f t="shared" si="5"/>
        <v>7387.8731525375506</v>
      </c>
    </row>
    <row r="47" spans="1:17" ht="12.75" customHeight="1" x14ac:dyDescent="0.35">
      <c r="A47" s="87">
        <v>4</v>
      </c>
      <c r="B47" s="80" t="s">
        <v>116</v>
      </c>
      <c r="C47" s="81">
        <f>Premissas!$C$72+0.4166666667*(Premissas!$C$73-Premissas!$C$72)</f>
        <v>0.91866666666600005</v>
      </c>
      <c r="D47" s="82">
        <f>(1+Premissas!$C$26)^(3)</f>
        <v>1.2597120000000002</v>
      </c>
      <c r="E47" s="83">
        <f>Dimensionador!$C$22*(Premissas!$C$72+0.4166666667*(Premissas!$C$73-Premissas!$C$72))*Premissas!$C$21*(1+Premissas!$C$26)^(3)</f>
        <v>21473.230753215361</v>
      </c>
      <c r="F47" s="83">
        <f>Dimensionador!$C$7*Premissas!$C$13*(Premissas!$C$72+0.4166666667*(Premissas!$C$73-Premissas!$C$72))*Premissas!$C$20*(1+Premissas!$C$26)^(3)</f>
        <v>5815.0234800761427</v>
      </c>
      <c r="G47" s="84">
        <f>Dimensionador!$C$7*Premissas!$C$25*(1+Premissas!$C$27)^(3)/12</f>
        <v>2003.3328333333332</v>
      </c>
      <c r="H47" s="85">
        <f>Premissas!$C$57*(1-Premissas!$C$32)^(3)</f>
        <v>52639.938632812504</v>
      </c>
      <c r="I47" s="85">
        <f>MIN(H47,Dimensionador!$C$7*Premissas!$C$13*(Premissas!$C$72+0.4166666667*(Premissas!$C$73-Premissas!$C$72)))</f>
        <v>7374.4941718087521</v>
      </c>
      <c r="J47" s="85">
        <f t="shared" si="0"/>
        <v>45265.444461003754</v>
      </c>
      <c r="K47" s="83">
        <f>Premissas!$C$35*(1+Premissas!$C$27)^(3)/12</f>
        <v>1081.3444270833334</v>
      </c>
      <c r="L47" s="83">
        <f>E47-F47+(I47+J47)*Premissas!$C$20*(1+Premissas!$C$26)^(3)</f>
        <v>57166.475095729926</v>
      </c>
      <c r="M47" s="83">
        <f t="shared" si="2"/>
        <v>54081.797835313257</v>
      </c>
      <c r="N47" s="83">
        <f t="shared" si="1"/>
        <v>-245297.90516931994</v>
      </c>
      <c r="O47" s="83">
        <f t="shared" si="3"/>
        <v>2042202.0948306795</v>
      </c>
      <c r="P47" s="86" t="str">
        <f t="shared" si="4"/>
        <v/>
      </c>
      <c r="Q47" s="67">
        <f t="shared" si="5"/>
        <v>7374.4941718087521</v>
      </c>
    </row>
    <row r="48" spans="1:17" ht="12.75" customHeight="1" x14ac:dyDescent="0.35">
      <c r="A48" s="87">
        <v>4</v>
      </c>
      <c r="B48" s="80" t="s">
        <v>117</v>
      </c>
      <c r="C48" s="81">
        <f>Premissas!$C$72+0.5*(Premissas!$C$73-Premissas!$C$72)</f>
        <v>0.91700000000000004</v>
      </c>
      <c r="D48" s="82">
        <f>(1+Premissas!$C$26)^(3)</f>
        <v>1.2597120000000002</v>
      </c>
      <c r="E48" s="83">
        <f>Dimensionador!$C$22*(Premissas!$C$72+0.5*(Premissas!$C$73-Premissas!$C$72))*Premissas!$C$21*(1+Premissas!$C$26)^(3)</f>
        <v>21434.273513112596</v>
      </c>
      <c r="F48" s="83">
        <f>Dimensionador!$C$7*Premissas!$C$13*(Premissas!$C$72+0.5*(Premissas!$C$73-Premissas!$C$72))*Premissas!$C$20*(1+Premissas!$C$26)^(3)</f>
        <v>5804.4737277580116</v>
      </c>
      <c r="G48" s="84">
        <f>Dimensionador!$C$7*Premissas!$C$25*(1+Premissas!$C$27)^(3)/12</f>
        <v>2003.3328333333332</v>
      </c>
      <c r="H48" s="85">
        <f>Premissas!$C$58*(1-Premissas!$C$32)^(3)</f>
        <v>54394.603253906251</v>
      </c>
      <c r="I48" s="85">
        <f>MIN(H48,Dimensionador!$C$7*Premissas!$C$13*(Premissas!$C$72+0.5*(Premissas!$C$73-Premissas!$C$72)))</f>
        <v>7361.1151910960079</v>
      </c>
      <c r="J48" s="85">
        <f t="shared" si="0"/>
        <v>47033.48806281024</v>
      </c>
      <c r="K48" s="83">
        <f>Premissas!$C$35*(1+Premissas!$C$27)^(3)/12</f>
        <v>1081.3444270833334</v>
      </c>
      <c r="L48" s="83">
        <f>E48-F48+(I48+J48)*Premissas!$C$20*(1+Premissas!$C$26)^(3)</f>
        <v>58521.676535364983</v>
      </c>
      <c r="M48" s="83">
        <f t="shared" si="2"/>
        <v>55436.999274948314</v>
      </c>
      <c r="N48" s="83">
        <f t="shared" si="1"/>
        <v>-189860.90589437162</v>
      </c>
      <c r="O48" s="83">
        <f t="shared" si="3"/>
        <v>2097639.0941056279</v>
      </c>
      <c r="P48" s="86" t="str">
        <f t="shared" si="4"/>
        <v/>
      </c>
      <c r="Q48" s="67">
        <f t="shared" si="5"/>
        <v>7361.1151910960079</v>
      </c>
    </row>
    <row r="49" spans="1:17" ht="12.75" customHeight="1" x14ac:dyDescent="0.35">
      <c r="A49" s="87">
        <v>4</v>
      </c>
      <c r="B49" s="80" t="s">
        <v>118</v>
      </c>
      <c r="C49" s="81">
        <f>Premissas!$C$72+0.5833333333*(Premissas!$C$73-Premissas!$C$72)</f>
        <v>0.91533333333400002</v>
      </c>
      <c r="D49" s="82">
        <f>(1+Premissas!$C$26)^(3)</f>
        <v>1.2597120000000002</v>
      </c>
      <c r="E49" s="83">
        <f>Dimensionador!$C$22*(Premissas!$C$72+0.5833333333*(Premissas!$C$73-Premissas!$C$72))*Premissas!$C$21*(1+Premissas!$C$26)^(3)</f>
        <v>21395.316273009837</v>
      </c>
      <c r="F49" s="83">
        <f>Dimensionador!$C$7*Premissas!$C$13*(Premissas!$C$72+0.5833333333*(Premissas!$C$73-Premissas!$C$72))*Premissas!$C$20*(1+Premissas!$C$26)^(3)</f>
        <v>5793.9239754398786</v>
      </c>
      <c r="G49" s="84">
        <f>Dimensionador!$C$7*Premissas!$C$25*(1+Premissas!$C$27)^(3)/12</f>
        <v>2003.3328333333332</v>
      </c>
      <c r="H49" s="85">
        <f>Premissas!$C$59*(1-Premissas!$C$32)^(3)</f>
        <v>54394.603253906251</v>
      </c>
      <c r="I49" s="85">
        <f>MIN(H49,Dimensionador!$C$7*Premissas!$C$13*(Premissas!$C$72+0.5833333333*(Premissas!$C$73-Premissas!$C$72)))</f>
        <v>7347.7362103832647</v>
      </c>
      <c r="J49" s="85">
        <f t="shared" si="0"/>
        <v>47046.867043522987</v>
      </c>
      <c r="K49" s="83">
        <f>Premissas!$C$35*(1+Premissas!$C$27)^(3)/12</f>
        <v>1081.3444270833334</v>
      </c>
      <c r="L49" s="83">
        <f>E49-F49+(I49+J49)*Premissas!$C$20*(1+Premissas!$C$26)^(3)</f>
        <v>58493.269047580361</v>
      </c>
      <c r="M49" s="83">
        <f t="shared" si="2"/>
        <v>55408.591787163692</v>
      </c>
      <c r="N49" s="83">
        <f t="shared" si="1"/>
        <v>-134452.31410720793</v>
      </c>
      <c r="O49" s="83">
        <f t="shared" si="3"/>
        <v>2153047.6858927915</v>
      </c>
      <c r="P49" s="86" t="str">
        <f t="shared" si="4"/>
        <v/>
      </c>
      <c r="Q49" s="67">
        <f t="shared" si="5"/>
        <v>7347.7362103832647</v>
      </c>
    </row>
    <row r="50" spans="1:17" ht="12.75" customHeight="1" x14ac:dyDescent="0.35">
      <c r="A50" s="87">
        <v>4</v>
      </c>
      <c r="B50" s="80" t="s">
        <v>119</v>
      </c>
      <c r="C50" s="81">
        <f>Premissas!$C$72+0.6666666667*(Premissas!$C$73-Premissas!$C$72)</f>
        <v>0.91366666666600005</v>
      </c>
      <c r="D50" s="82">
        <f>(1+Premissas!$C$26)^(3)</f>
        <v>1.2597120000000002</v>
      </c>
      <c r="E50" s="83">
        <f>Dimensionador!$C$22*(Premissas!$C$72+0.6666666667*(Premissas!$C$73-Premissas!$C$72))*Premissas!$C$21*(1+Premissas!$C$26)^(3)</f>
        <v>21356.359032860331</v>
      </c>
      <c r="F50" s="83">
        <f>Dimensionador!$C$7*Premissas!$C$13*(Premissas!$C$72+0.6666666667*(Premissas!$C$73-Premissas!$C$72))*Premissas!$C$20*(1+Premissas!$C$26)^(3)</f>
        <v>5783.3742231090873</v>
      </c>
      <c r="G50" s="84">
        <f>Dimensionador!$C$7*Premissas!$C$25*(1+Premissas!$C$27)^(3)/12</f>
        <v>2003.3328333333332</v>
      </c>
      <c r="H50" s="85">
        <f>Premissas!$C$60*(1-Premissas!$C$32)^(3)</f>
        <v>52639.938632812504</v>
      </c>
      <c r="I50" s="85">
        <f>MIN(H50,Dimensionador!$C$7*Premissas!$C$13*(Premissas!$C$72+0.6666666667*(Premissas!$C$73-Premissas!$C$72)))</f>
        <v>7334.3572296544662</v>
      </c>
      <c r="J50" s="85">
        <f t="shared" si="0"/>
        <v>45305.581403158038</v>
      </c>
      <c r="K50" s="83">
        <f>Premissas!$C$35*(1+Premissas!$C$27)^(3)/12</f>
        <v>1081.3444270833334</v>
      </c>
      <c r="L50" s="83">
        <f>E50-F50+(I50+J50)*Premissas!$C$20*(1+Premissas!$C$26)^(3)</f>
        <v>57081.252632341952</v>
      </c>
      <c r="M50" s="83">
        <f t="shared" si="2"/>
        <v>53996.575371925283</v>
      </c>
      <c r="N50" s="83">
        <f t="shared" si="1"/>
        <v>-80455.738735282648</v>
      </c>
      <c r="O50" s="83">
        <f t="shared" si="3"/>
        <v>2207044.2612647167</v>
      </c>
      <c r="P50" s="86" t="str">
        <f t="shared" si="4"/>
        <v/>
      </c>
      <c r="Q50" s="67">
        <f t="shared" si="5"/>
        <v>7334.3572296544662</v>
      </c>
    </row>
    <row r="51" spans="1:17" ht="12.75" customHeight="1" x14ac:dyDescent="0.35">
      <c r="A51" s="87">
        <v>4</v>
      </c>
      <c r="B51" s="80" t="s">
        <v>120</v>
      </c>
      <c r="C51" s="81">
        <f>Premissas!$C$72+0.75*(Premissas!$C$73-Premissas!$C$72)</f>
        <v>0.91200000000000003</v>
      </c>
      <c r="D51" s="82">
        <f>(1+Premissas!$C$26)^(3)</f>
        <v>1.2597120000000002</v>
      </c>
      <c r="E51" s="83">
        <f>Dimensionador!$C$22*(Premissas!$C$72+0.75*(Premissas!$C$73-Premissas!$C$72))*Premissas!$C$21*(1+Premissas!$C$26)^(3)</f>
        <v>21317.401792757566</v>
      </c>
      <c r="F51" s="83">
        <f>Dimensionador!$C$7*Premissas!$C$13*(Premissas!$C$72+0.75*(Premissas!$C$73-Premissas!$C$72))*Premissas!$C$20*(1+Premissas!$C$26)^(3)</f>
        <v>5772.8244707909553</v>
      </c>
      <c r="G51" s="84">
        <f>Dimensionador!$C$7*Premissas!$C$25*(1+Premissas!$C$27)^(3)/12</f>
        <v>2003.3328333333332</v>
      </c>
      <c r="H51" s="85">
        <f>Premissas!$C$61*(1-Premissas!$C$32)^(3)</f>
        <v>54394.603253906251</v>
      </c>
      <c r="I51" s="85">
        <f>MIN(H51,Dimensionador!$C$7*Premissas!$C$13*(Premissas!$C$72+0.75*(Premissas!$C$73-Premissas!$C$72)))</f>
        <v>7320.9782489417221</v>
      </c>
      <c r="J51" s="85">
        <f t="shared" si="0"/>
        <v>47073.625004964531</v>
      </c>
      <c r="K51" s="83">
        <f>Premissas!$C$35*(1+Premissas!$C$27)^(3)/12</f>
        <v>1081.3444270833334</v>
      </c>
      <c r="L51" s="83">
        <f>E51-F51+(I51+J51)*Premissas!$C$20*(1+Premissas!$C$26)^(3)</f>
        <v>58436.454071977016</v>
      </c>
      <c r="M51" s="83">
        <f t="shared" si="2"/>
        <v>55351.776811560347</v>
      </c>
      <c r="N51" s="83">
        <f t="shared" si="1"/>
        <v>-25103.961923722301</v>
      </c>
      <c r="O51" s="83">
        <f t="shared" si="3"/>
        <v>2262396.0380762769</v>
      </c>
      <c r="P51" s="86" t="str">
        <f t="shared" si="4"/>
        <v/>
      </c>
      <c r="Q51" s="67">
        <f t="shared" si="5"/>
        <v>7320.9782489417221</v>
      </c>
    </row>
    <row r="52" spans="1:17" ht="12.75" customHeight="1" x14ac:dyDescent="0.35">
      <c r="A52" s="87">
        <v>4</v>
      </c>
      <c r="B52" s="80" t="s">
        <v>121</v>
      </c>
      <c r="C52" s="81">
        <f>Premissas!$C$72+0.8333333333*(Premissas!$C$73-Premissas!$C$72)</f>
        <v>0.91033333333400002</v>
      </c>
      <c r="D52" s="82">
        <f>(1+Premissas!$C$26)^(3)</f>
        <v>1.2597120000000002</v>
      </c>
      <c r="E52" s="83">
        <f>Dimensionador!$C$22*(Premissas!$C$72+0.8333333333*(Premissas!$C$73-Premissas!$C$72))*Premissas!$C$21*(1+Premissas!$C$26)^(3)</f>
        <v>21278.444552654808</v>
      </c>
      <c r="F52" s="83">
        <f>Dimensionador!$C$7*Premissas!$C$13*(Premissas!$C$72+0.8333333333*(Premissas!$C$73-Premissas!$C$72))*Premissas!$C$20*(1+Premissas!$C$26)^(3)</f>
        <v>5762.2747184728232</v>
      </c>
      <c r="G52" s="84">
        <f>Dimensionador!$C$7*Premissas!$C$25*(1+Premissas!$C$27)^(3)/12</f>
        <v>2003.3328333333332</v>
      </c>
      <c r="H52" s="85">
        <f>Premissas!$C$62*(1-Premissas!$C$32)^(3)</f>
        <v>52639.938632812504</v>
      </c>
      <c r="I52" s="85">
        <f>MIN(H52,Dimensionador!$C$7*Premissas!$C$13*(Premissas!$C$72+0.8333333333*(Premissas!$C$73-Premissas!$C$72)))</f>
        <v>7307.5992682289789</v>
      </c>
      <c r="J52" s="85">
        <f t="shared" si="0"/>
        <v>45332.339364583524</v>
      </c>
      <c r="K52" s="83">
        <f>Premissas!$C$35*(1+Premissas!$C$27)^(3)/12</f>
        <v>1081.3444270833334</v>
      </c>
      <c r="L52" s="83">
        <f>E52-F52+(I52+J52)*Premissas!$C$20*(1+Premissas!$C$26)^(3)</f>
        <v>57024.437656772694</v>
      </c>
      <c r="M52" s="83">
        <f t="shared" si="2"/>
        <v>53939.760396356025</v>
      </c>
      <c r="N52" s="83">
        <f t="shared" si="1"/>
        <v>28835.798472633724</v>
      </c>
      <c r="O52" s="83">
        <f t="shared" si="3"/>
        <v>2316335.7984726331</v>
      </c>
      <c r="P52" s="86" t="str">
        <f t="shared" si="4"/>
        <v>✅ PAYBACK</v>
      </c>
      <c r="Q52" s="67">
        <f t="shared" si="5"/>
        <v>7307.5992682289789</v>
      </c>
    </row>
    <row r="53" spans="1:17" ht="12.75" customHeight="1" x14ac:dyDescent="0.35">
      <c r="A53" s="88">
        <v>4</v>
      </c>
      <c r="B53" s="89" t="s">
        <v>122</v>
      </c>
      <c r="C53" s="90">
        <f>Premissas!$C$72+0.9166666667*(Premissas!$C$73-Premissas!$C$72)</f>
        <v>0.90866666666600004</v>
      </c>
      <c r="D53" s="91">
        <f>(1+Premissas!$C$26)^(3)</f>
        <v>1.2597120000000002</v>
      </c>
      <c r="E53" s="92">
        <f>Dimensionador!$C$22*(Premissas!$C$72+0.9166666667*(Premissas!$C$73-Premissas!$C$72))*Premissas!$C$21*(1+Premissas!$C$26)^(3)</f>
        <v>21239.487312505302</v>
      </c>
      <c r="F53" s="92">
        <f>Dimensionador!$C$7*Premissas!$C$13*(Premissas!$C$72+0.9166666667*(Premissas!$C$73-Premissas!$C$72))*Premissas!$C$20*(1+Premissas!$C$26)^(3)</f>
        <v>5751.7249661420319</v>
      </c>
      <c r="G53" s="93">
        <f>Dimensionador!$C$7*Premissas!$C$25*(1+Premissas!$C$27)^(3)/12</f>
        <v>2003.3328333333332</v>
      </c>
      <c r="H53" s="94">
        <f>Premissas!$C$63*(1-Premissas!$C$32)^(3)</f>
        <v>54394.603253906251</v>
      </c>
      <c r="I53" s="95">
        <f>MIN(H53,Dimensionador!$C$7*Premissas!$C$13*(Premissas!$C$72+0.9166666667*(Premissas!$C$73-Premissas!$C$72)))</f>
        <v>7294.2202875001803</v>
      </c>
      <c r="J53" s="94">
        <f t="shared" si="0"/>
        <v>47100.382966406069</v>
      </c>
      <c r="K53" s="96">
        <f>Premissas!$C$35*(1+Premissas!$C$27)^(3)/12</f>
        <v>1081.3444270833334</v>
      </c>
      <c r="L53" s="92">
        <f>E53-F53+(I53+J53)*Premissas!$C$20*(1+Premissas!$C$26)^(3)</f>
        <v>58379.63909637367</v>
      </c>
      <c r="M53" s="96">
        <f t="shared" si="2"/>
        <v>55294.961835957001</v>
      </c>
      <c r="N53" s="96">
        <f t="shared" si="1"/>
        <v>84130.760308590718</v>
      </c>
      <c r="O53" s="96">
        <f t="shared" si="3"/>
        <v>2371630.7603085903</v>
      </c>
      <c r="P53" s="97" t="str">
        <f t="shared" si="4"/>
        <v/>
      </c>
      <c r="Q53" s="67">
        <f t="shared" si="5"/>
        <v>7294.2202875001803</v>
      </c>
    </row>
    <row r="54" spans="1:17" ht="12.75" customHeight="1" x14ac:dyDescent="0.35">
      <c r="A54" s="59">
        <v>5</v>
      </c>
      <c r="B54" s="60" t="s">
        <v>110</v>
      </c>
      <c r="C54" s="61">
        <f>Premissas!$C$73+0*(Premissas!$C$74-Premissas!$C$73)</f>
        <v>0.90700000000000003</v>
      </c>
      <c r="D54" s="62">
        <f>(1+Premissas!$C$26)^(4)</f>
        <v>1.3604889600000003</v>
      </c>
      <c r="E54" s="63">
        <f>Dimensionador!$C$22*(Premissas!$C$73+0*(Premissas!$C$74-Premissas!$C$73))*Premissas!$C$21*(1+Premissas!$C$26)^(4)</f>
        <v>22896.572478194743</v>
      </c>
      <c r="F54" s="63">
        <f>Dimensionador!$C$7*Premissas!$C$13*(Premissas!$C$73+0*(Premissas!$C$74-Premissas!$C$73))*Premissas!$C$20*(1+Premissas!$C$26)^(4)</f>
        <v>6200.4692309298125</v>
      </c>
      <c r="G54" s="64">
        <f>Dimensionador!$C$7*Premissas!$C$25*(1+Premissas!$C$27)^(4)/12</f>
        <v>2063.4328183333332</v>
      </c>
      <c r="H54" s="65">
        <f>Premissas!$C$52*(1-Premissas!$C$32)^(4)</f>
        <v>54122.630237636724</v>
      </c>
      <c r="I54" s="65">
        <f>MIN(H54,Dimensionador!$C$7*Premissas!$C$13*(Premissas!$C$73+0*(Premissas!$C$74-Premissas!$C$73)))</f>
        <v>7280.8413067874362</v>
      </c>
      <c r="J54" s="65">
        <f t="shared" si="0"/>
        <v>46841.788930849289</v>
      </c>
      <c r="K54" s="63">
        <f>Premissas!$C$35*(1+Premissas!$C$27)^(4)/12</f>
        <v>1113.7847598958333</v>
      </c>
      <c r="L54" s="63">
        <f>E54-F54+(I54+J54)*Premissas!$C$20*(1+Premissas!$C$26)^(4)</f>
        <v>62787.714002826113</v>
      </c>
      <c r="M54" s="63">
        <f t="shared" si="2"/>
        <v>59610.496424596946</v>
      </c>
      <c r="N54" s="63">
        <f t="shared" si="1"/>
        <v>143741.25673318765</v>
      </c>
      <c r="O54" s="63">
        <f t="shared" si="3"/>
        <v>2431241.256733187</v>
      </c>
      <c r="P54" s="66" t="str">
        <f t="shared" si="4"/>
        <v/>
      </c>
      <c r="Q54" s="67">
        <f t="shared" si="5"/>
        <v>7280.8413067874362</v>
      </c>
    </row>
    <row r="55" spans="1:17" ht="12.75" customHeight="1" x14ac:dyDescent="0.35">
      <c r="A55" s="68">
        <v>5</v>
      </c>
      <c r="B55" s="60" t="s">
        <v>112</v>
      </c>
      <c r="C55" s="61">
        <f>Premissas!$C$73+0.0833333333*(Premissas!$C$74-Premissas!$C$73)</f>
        <v>0.90541666666730003</v>
      </c>
      <c r="D55" s="62">
        <f>(1+Premissas!$C$26)^(4)</f>
        <v>1.3604889600000003</v>
      </c>
      <c r="E55" s="63">
        <f>Dimensionador!$C$22*(Premissas!$C$73+0.0833333333*(Premissas!$C$74-Premissas!$C$73))*Premissas!$C$21*(1+Premissas!$C$26)^(4)</f>
        <v>22856.602349849309</v>
      </c>
      <c r="F55" s="63">
        <f>Dimensionador!$C$7*Premissas!$C$13*(Premissas!$C$73+0.0833333333*(Premissas!$C$74-Premissas!$C$73))*Premissas!$C$20*(1+Premissas!$C$26)^(4)</f>
        <v>6189.6451850514086</v>
      </c>
      <c r="G55" s="64">
        <f>Dimensionador!$C$7*Premissas!$C$25*(1+Premissas!$C$27)^(4)/12</f>
        <v>2063.4328183333332</v>
      </c>
      <c r="H55" s="65">
        <f>Premissas!$C$53*(1-Premissas!$C$32)^(4)</f>
        <v>48884.956343671874</v>
      </c>
      <c r="I55" s="65">
        <f>MIN(H55,Dimensionador!$C$7*Premissas!$C$13*(Premissas!$C$73+0.0833333333*(Premissas!$C$74-Premissas!$C$73)))</f>
        <v>7268.1312751103305</v>
      </c>
      <c r="J55" s="65">
        <f t="shared" si="0"/>
        <v>41616.825068561542</v>
      </c>
      <c r="K55" s="63">
        <f>Premissas!$C$35*(1+Premissas!$C$27)^(4)/12</f>
        <v>1113.7847598958333</v>
      </c>
      <c r="L55" s="63">
        <f>E55-F55+(I55+J55)*Premissas!$C$20*(1+Premissas!$C$26)^(4)</f>
        <v>58298.089460143485</v>
      </c>
      <c r="M55" s="63">
        <f t="shared" si="2"/>
        <v>55120.871881914318</v>
      </c>
      <c r="N55" s="63">
        <f t="shared" si="1"/>
        <v>198862.12861510197</v>
      </c>
      <c r="O55" s="63">
        <f t="shared" si="3"/>
        <v>2486362.1286151013</v>
      </c>
      <c r="P55" s="66" t="str">
        <f t="shared" si="4"/>
        <v/>
      </c>
      <c r="Q55" s="67">
        <f t="shared" si="5"/>
        <v>7268.1312751103305</v>
      </c>
    </row>
    <row r="56" spans="1:17" ht="12.75" customHeight="1" x14ac:dyDescent="0.35">
      <c r="A56" s="68">
        <v>5</v>
      </c>
      <c r="B56" s="60" t="s">
        <v>113</v>
      </c>
      <c r="C56" s="61">
        <f>Premissas!$C$73+0.1666666667*(Premissas!$C$74-Premissas!$C$73)</f>
        <v>0.9038333333327</v>
      </c>
      <c r="D56" s="62">
        <f>(1+Premissas!$C$26)^(4)</f>
        <v>1.3604889600000003</v>
      </c>
      <c r="E56" s="63">
        <f>Dimensionador!$C$22*(Premissas!$C$73+0.1666666667*(Premissas!$C$74-Premissas!$C$73))*Premissas!$C$21*(1+Premissas!$C$26)^(4)</f>
        <v>22816.632221455915</v>
      </c>
      <c r="F56" s="63">
        <f>Dimensionador!$C$7*Premissas!$C$13*(Premissas!$C$73+0.1666666667*(Premissas!$C$74-Premissas!$C$73))*Premissas!$C$20*(1+Premissas!$C$26)^(4)</f>
        <v>6178.8211391600162</v>
      </c>
      <c r="G56" s="64">
        <f>Dimensionador!$C$7*Premissas!$C$25*(1+Premissas!$C$27)^(4)/12</f>
        <v>2063.4328183333332</v>
      </c>
      <c r="H56" s="65">
        <f>Premissas!$C$54*(1-Premissas!$C$32)^(4)</f>
        <v>54122.630237636724</v>
      </c>
      <c r="I56" s="65">
        <f>MIN(H56,Dimensionador!$C$7*Premissas!$C$13*(Premissas!$C$73+0.1666666667*(Premissas!$C$74-Premissas!$C$73)))</f>
        <v>7255.4212434179717</v>
      </c>
      <c r="J56" s="65">
        <f t="shared" si="0"/>
        <v>46867.208994218752</v>
      </c>
      <c r="K56" s="63">
        <f>Premissas!$C$35*(1+Premissas!$C$27)^(4)/12</f>
        <v>1113.7847598958333</v>
      </c>
      <c r="L56" s="63">
        <f>E56-F56+(I56+J56)*Premissas!$C$20*(1+Premissas!$C$26)^(4)</f>
        <v>62729.42183785708</v>
      </c>
      <c r="M56" s="63">
        <f t="shared" si="2"/>
        <v>59552.204259627913</v>
      </c>
      <c r="N56" s="63">
        <f t="shared" si="1"/>
        <v>258414.33287472988</v>
      </c>
      <c r="O56" s="63">
        <f t="shared" si="3"/>
        <v>2545914.3328747293</v>
      </c>
      <c r="P56" s="66" t="str">
        <f t="shared" si="4"/>
        <v/>
      </c>
      <c r="Q56" s="67">
        <f t="shared" si="5"/>
        <v>7255.4212434179717</v>
      </c>
    </row>
    <row r="57" spans="1:17" ht="12.75" customHeight="1" x14ac:dyDescent="0.35">
      <c r="A57" s="68">
        <v>5</v>
      </c>
      <c r="B57" s="60" t="s">
        <v>114</v>
      </c>
      <c r="C57" s="61">
        <f>Premissas!$C$73+0.25*(Premissas!$C$74-Premissas!$C$73)</f>
        <v>0.90225</v>
      </c>
      <c r="D57" s="62">
        <f>(1+Premissas!$C$26)^(4)</f>
        <v>1.3604889600000003</v>
      </c>
      <c r="E57" s="63">
        <f>Dimensionador!$C$22*(Premissas!$C$73+0.25*(Premissas!$C$74-Premissas!$C$73))*Premissas!$C$21*(1+Premissas!$C$26)^(4)</f>
        <v>22776.662093110481</v>
      </c>
      <c r="F57" s="63">
        <f>Dimensionador!$C$7*Premissas!$C$13*(Premissas!$C$73+0.25*(Premissas!$C$74-Premissas!$C$73))*Premissas!$C$20*(1+Premissas!$C$26)^(4)</f>
        <v>6167.9970932816132</v>
      </c>
      <c r="G57" s="64">
        <f>Dimensionador!$C$7*Premissas!$C$25*(1+Premissas!$C$27)^(4)/12</f>
        <v>2063.4328183333332</v>
      </c>
      <c r="H57" s="65">
        <f>Premissas!$C$55*(1-Premissas!$C$32)^(4)</f>
        <v>52376.738939648443</v>
      </c>
      <c r="I57" s="65">
        <f>MIN(H57,Dimensionador!$C$7*Premissas!$C$13*(Premissas!$C$73+0.25*(Premissas!$C$74-Premissas!$C$73)))</f>
        <v>7242.7112117408651</v>
      </c>
      <c r="J57" s="65">
        <f t="shared" si="0"/>
        <v>45134.027727907582</v>
      </c>
      <c r="K57" s="63">
        <f>Premissas!$C$35*(1+Premissas!$C$27)^(4)/12</f>
        <v>1113.7847598958333</v>
      </c>
      <c r="L57" s="63">
        <f>E57-F57+(I57+J57)*Premissas!$C$20*(1+Premissas!$C$26)^(4)</f>
        <v>61213.449601984859</v>
      </c>
      <c r="M57" s="63">
        <f t="shared" si="2"/>
        <v>58036.232023755692</v>
      </c>
      <c r="N57" s="63">
        <f t="shared" si="1"/>
        <v>316450.56489848555</v>
      </c>
      <c r="O57" s="63">
        <f t="shared" si="3"/>
        <v>2603950.5648984849</v>
      </c>
      <c r="P57" s="66" t="str">
        <f t="shared" si="4"/>
        <v/>
      </c>
      <c r="Q57" s="67">
        <f t="shared" si="5"/>
        <v>7242.7112117408651</v>
      </c>
    </row>
    <row r="58" spans="1:17" ht="12.75" customHeight="1" x14ac:dyDescent="0.35">
      <c r="A58" s="68">
        <v>5</v>
      </c>
      <c r="B58" s="60" t="s">
        <v>115</v>
      </c>
      <c r="C58" s="61">
        <f>Premissas!$C$73+0.3333333333*(Premissas!$C$74-Premissas!$C$73)</f>
        <v>0.9006666666673</v>
      </c>
      <c r="D58" s="62">
        <f>(1+Premissas!$C$26)^(4)</f>
        <v>1.3604889600000003</v>
      </c>
      <c r="E58" s="63">
        <f>Dimensionador!$C$22*(Premissas!$C$73+0.3333333333*(Premissas!$C$74-Premissas!$C$73))*Premissas!$C$21*(1+Premissas!$C$26)^(4)</f>
        <v>22736.691964765047</v>
      </c>
      <c r="F58" s="63">
        <f>Dimensionador!$C$7*Premissas!$C$13*(Premissas!$C$73+0.3333333333*(Premissas!$C$74-Premissas!$C$73))*Premissas!$C$20*(1+Premissas!$C$26)^(4)</f>
        <v>6157.1730474032101</v>
      </c>
      <c r="G58" s="64">
        <f>Dimensionador!$C$7*Premissas!$C$25*(1+Premissas!$C$27)^(4)/12</f>
        <v>2063.4328183333332</v>
      </c>
      <c r="H58" s="65">
        <f>Premissas!$C$56*(1-Premissas!$C$32)^(4)</f>
        <v>54122.630237636724</v>
      </c>
      <c r="I58" s="65">
        <f>MIN(H58,Dimensionador!$C$7*Premissas!$C$13*(Premissas!$C$73+0.3333333333*(Premissas!$C$74-Premissas!$C$73)))</f>
        <v>7230.0011800637585</v>
      </c>
      <c r="J58" s="65">
        <f t="shared" si="0"/>
        <v>46892.629057572965</v>
      </c>
      <c r="K58" s="63">
        <f>Premissas!$C$35*(1+Premissas!$C$27)^(4)/12</f>
        <v>1113.7847598958333</v>
      </c>
      <c r="L58" s="63">
        <f>E58-F58+(I58+J58)*Premissas!$C$20*(1+Premissas!$C$26)^(4)</f>
        <v>62671.129672923016</v>
      </c>
      <c r="M58" s="63">
        <f t="shared" si="2"/>
        <v>59493.912094693849</v>
      </c>
      <c r="N58" s="63">
        <f t="shared" si="1"/>
        <v>375944.47699317941</v>
      </c>
      <c r="O58" s="63">
        <f t="shared" si="3"/>
        <v>2663444.4769931785</v>
      </c>
      <c r="P58" s="66" t="str">
        <f t="shared" si="4"/>
        <v/>
      </c>
      <c r="Q58" s="67">
        <f t="shared" si="5"/>
        <v>7230.0011800637585</v>
      </c>
    </row>
    <row r="59" spans="1:17" ht="12.75" customHeight="1" x14ac:dyDescent="0.35">
      <c r="A59" s="68">
        <v>5</v>
      </c>
      <c r="B59" s="60" t="s">
        <v>116</v>
      </c>
      <c r="C59" s="61">
        <f>Premissas!$C$73+0.4166666667*(Premissas!$C$74-Premissas!$C$73)</f>
        <v>0.89908333333270007</v>
      </c>
      <c r="D59" s="62">
        <f>(1+Premissas!$C$26)^(4)</f>
        <v>1.3604889600000003</v>
      </c>
      <c r="E59" s="63">
        <f>Dimensionador!$C$22*(Premissas!$C$73+0.4166666667*(Premissas!$C$74-Premissas!$C$73))*Premissas!$C$21*(1+Premissas!$C$26)^(4)</f>
        <v>22696.721836371653</v>
      </c>
      <c r="F59" s="63">
        <f>Dimensionador!$C$7*Premissas!$C$13*(Premissas!$C$73+0.4166666667*(Premissas!$C$74-Premissas!$C$73))*Premissas!$C$20*(1+Premissas!$C$26)^(4)</f>
        <v>6146.3490015118168</v>
      </c>
      <c r="G59" s="64">
        <f>Dimensionador!$C$7*Premissas!$C$25*(1+Premissas!$C$27)^(4)/12</f>
        <v>2063.4328183333332</v>
      </c>
      <c r="H59" s="65">
        <f>Premissas!$C$57*(1-Premissas!$C$32)^(4)</f>
        <v>52376.738939648443</v>
      </c>
      <c r="I59" s="65">
        <f>MIN(H59,Dimensionador!$C$7*Premissas!$C$13*(Premissas!$C$73+0.4166666667*(Premissas!$C$74-Premissas!$C$73)))</f>
        <v>7217.2911483714006</v>
      </c>
      <c r="J59" s="65">
        <f t="shared" si="0"/>
        <v>45159.447791277045</v>
      </c>
      <c r="K59" s="63">
        <f>Premissas!$C$35*(1+Premissas!$C$27)^(4)/12</f>
        <v>1113.7847598958333</v>
      </c>
      <c r="L59" s="63">
        <f>E59-F59+(I59+J59)*Premissas!$C$20*(1+Premissas!$C$26)^(4)</f>
        <v>61155.157437015827</v>
      </c>
      <c r="M59" s="63">
        <f t="shared" si="2"/>
        <v>57977.93985878666</v>
      </c>
      <c r="N59" s="63">
        <f t="shared" si="1"/>
        <v>433922.41685196606</v>
      </c>
      <c r="O59" s="63">
        <f t="shared" si="3"/>
        <v>2721422.4168519652</v>
      </c>
      <c r="P59" s="66" t="str">
        <f t="shared" si="4"/>
        <v/>
      </c>
      <c r="Q59" s="67">
        <f t="shared" si="5"/>
        <v>7217.2911483714006</v>
      </c>
    </row>
    <row r="60" spans="1:17" ht="12.75" customHeight="1" x14ac:dyDescent="0.35">
      <c r="A60" s="68">
        <v>5</v>
      </c>
      <c r="B60" s="60" t="s">
        <v>117</v>
      </c>
      <c r="C60" s="61">
        <f>Premissas!$C$73+0.5*(Premissas!$C$74-Premissas!$C$73)</f>
        <v>0.89749999999999996</v>
      </c>
      <c r="D60" s="62">
        <f>(1+Premissas!$C$26)^(4)</f>
        <v>1.3604889600000003</v>
      </c>
      <c r="E60" s="63">
        <f>Dimensionador!$C$22*(Premissas!$C$73+0.5*(Premissas!$C$74-Premissas!$C$73))*Premissas!$C$21*(1+Premissas!$C$26)^(4)</f>
        <v>22656.751708026219</v>
      </c>
      <c r="F60" s="63">
        <f>Dimensionador!$C$7*Premissas!$C$13*(Premissas!$C$73+0.5*(Premissas!$C$74-Premissas!$C$73))*Premissas!$C$20*(1+Premissas!$C$26)^(4)</f>
        <v>6135.5249556334129</v>
      </c>
      <c r="G60" s="64">
        <f>Dimensionador!$C$7*Premissas!$C$25*(1+Premissas!$C$27)^(4)/12</f>
        <v>2063.4328183333332</v>
      </c>
      <c r="H60" s="65">
        <f>Premissas!$C$58*(1-Premissas!$C$32)^(4)</f>
        <v>54122.630237636724</v>
      </c>
      <c r="I60" s="65">
        <f>MIN(H60,Dimensionador!$C$7*Premissas!$C$13*(Premissas!$C$73+0.5*(Premissas!$C$74-Premissas!$C$73)))</f>
        <v>7204.5811166942931</v>
      </c>
      <c r="J60" s="65">
        <f t="shared" si="0"/>
        <v>46918.049120942429</v>
      </c>
      <c r="K60" s="63">
        <f>Premissas!$C$35*(1+Premissas!$C$27)^(4)/12</f>
        <v>1113.7847598958333</v>
      </c>
      <c r="L60" s="63">
        <f>E60-F60+(I60+J60)*Premissas!$C$20*(1+Premissas!$C$26)^(4)</f>
        <v>62612.837507953984</v>
      </c>
      <c r="M60" s="63">
        <f t="shared" si="2"/>
        <v>59435.619929724817</v>
      </c>
      <c r="N60" s="63">
        <f t="shared" si="1"/>
        <v>493358.0367816909</v>
      </c>
      <c r="O60" s="63">
        <f t="shared" si="3"/>
        <v>2780858.0367816901</v>
      </c>
      <c r="P60" s="66" t="str">
        <f t="shared" si="4"/>
        <v/>
      </c>
      <c r="Q60" s="67">
        <f t="shared" si="5"/>
        <v>7204.5811166942931</v>
      </c>
    </row>
    <row r="61" spans="1:17" ht="12.75" customHeight="1" x14ac:dyDescent="0.35">
      <c r="A61" s="68">
        <v>5</v>
      </c>
      <c r="B61" s="60" t="s">
        <v>118</v>
      </c>
      <c r="C61" s="61">
        <f>Premissas!$C$73+0.5833333333*(Premissas!$C$74-Premissas!$C$73)</f>
        <v>0.89591666666729997</v>
      </c>
      <c r="D61" s="62">
        <f>(1+Premissas!$C$26)^(4)</f>
        <v>1.3604889600000003</v>
      </c>
      <c r="E61" s="63">
        <f>Dimensionador!$C$22*(Premissas!$C$73+0.5833333333*(Premissas!$C$74-Premissas!$C$73))*Premissas!$C$21*(1+Premissas!$C$26)^(4)</f>
        <v>22616.781579680784</v>
      </c>
      <c r="F61" s="63">
        <f>Dimensionador!$C$7*Premissas!$C$13*(Premissas!$C$73+0.5833333333*(Premissas!$C$74-Premissas!$C$73))*Premissas!$C$20*(1+Premissas!$C$26)^(4)</f>
        <v>6124.7009097550099</v>
      </c>
      <c r="G61" s="64">
        <f>Dimensionador!$C$7*Premissas!$C$25*(1+Premissas!$C$27)^(4)/12</f>
        <v>2063.4328183333332</v>
      </c>
      <c r="H61" s="65">
        <f>Premissas!$C$59*(1-Premissas!$C$32)^(4)</f>
        <v>54122.630237636724</v>
      </c>
      <c r="I61" s="65">
        <f>MIN(H61,Dimensionador!$C$7*Premissas!$C$13*(Premissas!$C$73+0.5833333333*(Premissas!$C$74-Premissas!$C$73)))</f>
        <v>7191.8710850171865</v>
      </c>
      <c r="J61" s="65">
        <f t="shared" si="0"/>
        <v>46930.759152619539</v>
      </c>
      <c r="K61" s="63">
        <f>Premissas!$C$35*(1+Premissas!$C$27)^(4)/12</f>
        <v>1113.7847598958333</v>
      </c>
      <c r="L61" s="63">
        <f>E61-F61+(I61+J61)*Premissas!$C$20*(1+Premissas!$C$26)^(4)</f>
        <v>62583.691425486955</v>
      </c>
      <c r="M61" s="63">
        <f t="shared" si="2"/>
        <v>59406.473847257788</v>
      </c>
      <c r="N61" s="63">
        <f t="shared" si="1"/>
        <v>552764.51062894869</v>
      </c>
      <c r="O61" s="63">
        <f t="shared" si="3"/>
        <v>2840264.510628948</v>
      </c>
      <c r="P61" s="66" t="str">
        <f t="shared" si="4"/>
        <v/>
      </c>
      <c r="Q61" s="67">
        <f t="shared" si="5"/>
        <v>7191.8710850171865</v>
      </c>
    </row>
    <row r="62" spans="1:17" ht="12.75" customHeight="1" x14ac:dyDescent="0.35">
      <c r="A62" s="68">
        <v>5</v>
      </c>
      <c r="B62" s="60" t="s">
        <v>119</v>
      </c>
      <c r="C62" s="61">
        <f>Premissas!$C$73+0.6666666667*(Premissas!$C$74-Premissas!$C$73)</f>
        <v>0.89433333333270004</v>
      </c>
      <c r="D62" s="62">
        <f>(1+Premissas!$C$26)^(4)</f>
        <v>1.3604889600000003</v>
      </c>
      <c r="E62" s="63">
        <f>Dimensionador!$C$22*(Premissas!$C$73+0.6666666667*(Premissas!$C$74-Premissas!$C$73))*Premissas!$C$21*(1+Premissas!$C$26)^(4)</f>
        <v>22576.811451287391</v>
      </c>
      <c r="F62" s="63">
        <f>Dimensionador!$C$7*Premissas!$C$13*(Premissas!$C$73+0.6666666667*(Premissas!$C$74-Premissas!$C$73))*Premissas!$C$20*(1+Premissas!$C$26)^(4)</f>
        <v>6113.8768638636184</v>
      </c>
      <c r="G62" s="64">
        <f>Dimensionador!$C$7*Premissas!$C$25*(1+Premissas!$C$27)^(4)/12</f>
        <v>2063.4328183333332</v>
      </c>
      <c r="H62" s="65">
        <f>Premissas!$C$60*(1-Premissas!$C$32)^(4)</f>
        <v>52376.738939648443</v>
      </c>
      <c r="I62" s="65">
        <f>MIN(H62,Dimensionador!$C$7*Premissas!$C$13*(Premissas!$C$73+0.6666666667*(Premissas!$C$74-Premissas!$C$73)))</f>
        <v>7179.1610533248286</v>
      </c>
      <c r="J62" s="65">
        <f t="shared" si="0"/>
        <v>45197.577886323612</v>
      </c>
      <c r="K62" s="63">
        <f>Premissas!$C$35*(1+Premissas!$C$27)^(4)/12</f>
        <v>1113.7847598958333</v>
      </c>
      <c r="L62" s="63">
        <f>E62-F62+(I62+J62)*Premissas!$C$20*(1+Premissas!$C$26)^(4)</f>
        <v>61067.719189579759</v>
      </c>
      <c r="M62" s="63">
        <f t="shared" si="2"/>
        <v>57890.501611350592</v>
      </c>
      <c r="N62" s="63">
        <f t="shared" si="1"/>
        <v>610655.01224029926</v>
      </c>
      <c r="O62" s="63">
        <f t="shared" si="3"/>
        <v>2898155.0122402986</v>
      </c>
      <c r="P62" s="66" t="str">
        <f t="shared" si="4"/>
        <v/>
      </c>
      <c r="Q62" s="67">
        <f t="shared" si="5"/>
        <v>7179.1610533248286</v>
      </c>
    </row>
    <row r="63" spans="1:17" ht="12.75" customHeight="1" x14ac:dyDescent="0.35">
      <c r="A63" s="68">
        <v>5</v>
      </c>
      <c r="B63" s="60" t="s">
        <v>120</v>
      </c>
      <c r="C63" s="61">
        <f>Premissas!$C$73+0.75*(Premissas!$C$74-Premissas!$C$73)</f>
        <v>0.89275000000000004</v>
      </c>
      <c r="D63" s="62">
        <f>(1+Premissas!$C$26)^(4)</f>
        <v>1.3604889600000003</v>
      </c>
      <c r="E63" s="63">
        <f>Dimensionador!$C$22*(Premissas!$C$73+0.75*(Premissas!$C$74-Premissas!$C$73))*Premissas!$C$21*(1+Premissas!$C$26)^(4)</f>
        <v>22536.84132294196</v>
      </c>
      <c r="F63" s="63">
        <f>Dimensionador!$C$7*Premissas!$C$13*(Premissas!$C$73+0.75*(Premissas!$C$74-Premissas!$C$73))*Premissas!$C$20*(1+Premissas!$C$26)^(4)</f>
        <v>6103.0528179852136</v>
      </c>
      <c r="G63" s="64">
        <f>Dimensionador!$C$7*Premissas!$C$25*(1+Premissas!$C$27)^(4)/12</f>
        <v>2063.4328183333332</v>
      </c>
      <c r="H63" s="65">
        <f>Premissas!$C$61*(1-Premissas!$C$32)^(4)</f>
        <v>54122.630237636724</v>
      </c>
      <c r="I63" s="65">
        <f>MIN(H63,Dimensionador!$C$7*Premissas!$C$13*(Premissas!$C$73+0.75*(Premissas!$C$74-Premissas!$C$73)))</f>
        <v>7166.451021647722</v>
      </c>
      <c r="J63" s="65">
        <f t="shared" si="0"/>
        <v>46956.179215989003</v>
      </c>
      <c r="K63" s="63">
        <f>Premissas!$C$35*(1+Premissas!$C$27)^(4)/12</f>
        <v>1113.7847598958333</v>
      </c>
      <c r="L63" s="63">
        <f>E63-F63+(I63+J63)*Premissas!$C$20*(1+Premissas!$C$26)^(4)</f>
        <v>62525.39926051793</v>
      </c>
      <c r="M63" s="63">
        <f t="shared" si="2"/>
        <v>59348.181682288763</v>
      </c>
      <c r="N63" s="63">
        <f t="shared" si="1"/>
        <v>670003.19392258802</v>
      </c>
      <c r="O63" s="63">
        <f t="shared" si="3"/>
        <v>2957503.1939225872</v>
      </c>
      <c r="P63" s="66" t="str">
        <f t="shared" si="4"/>
        <v/>
      </c>
      <c r="Q63" s="67">
        <f t="shared" si="5"/>
        <v>7166.451021647722</v>
      </c>
    </row>
    <row r="64" spans="1:17" ht="12.75" customHeight="1" x14ac:dyDescent="0.35">
      <c r="A64" s="68">
        <v>5</v>
      </c>
      <c r="B64" s="60" t="s">
        <v>121</v>
      </c>
      <c r="C64" s="61">
        <f>Premissas!$C$73+0.8333333333*(Premissas!$C$74-Premissas!$C$73)</f>
        <v>0.89116666666730004</v>
      </c>
      <c r="D64" s="62">
        <f>(1+Premissas!$C$26)^(4)</f>
        <v>1.3604889600000003</v>
      </c>
      <c r="E64" s="63">
        <f>Dimensionador!$C$22*(Premissas!$C$73+0.8333333333*(Premissas!$C$74-Premissas!$C$73))*Premissas!$C$21*(1+Premissas!$C$26)^(4)</f>
        <v>22496.871194596526</v>
      </c>
      <c r="F64" s="63">
        <f>Dimensionador!$C$7*Premissas!$C$13*(Premissas!$C$73+0.8333333333*(Premissas!$C$74-Premissas!$C$73))*Premissas!$C$20*(1+Premissas!$C$26)^(4)</f>
        <v>6092.2287721068105</v>
      </c>
      <c r="G64" s="64">
        <f>Dimensionador!$C$7*Premissas!$C$25*(1+Premissas!$C$27)^(4)/12</f>
        <v>2063.4328183333332</v>
      </c>
      <c r="H64" s="65">
        <f>Premissas!$C$62*(1-Premissas!$C$32)^(4)</f>
        <v>52376.738939648443</v>
      </c>
      <c r="I64" s="65">
        <f>MIN(H64,Dimensionador!$C$7*Premissas!$C$13*(Premissas!$C$73+0.8333333333*(Premissas!$C$74-Premissas!$C$73)))</f>
        <v>7153.7409899706154</v>
      </c>
      <c r="J64" s="65">
        <f t="shared" si="0"/>
        <v>45222.997949677825</v>
      </c>
      <c r="K64" s="63">
        <f>Premissas!$C$35*(1+Premissas!$C$27)^(4)/12</f>
        <v>1113.7847598958333</v>
      </c>
      <c r="L64" s="63">
        <f>E64-F64+(I64+J64)*Premissas!$C$20*(1+Premissas!$C$26)^(4)</f>
        <v>61009.427024645702</v>
      </c>
      <c r="M64" s="63">
        <f t="shared" si="2"/>
        <v>57832.209446416535</v>
      </c>
      <c r="N64" s="63">
        <f t="shared" si="1"/>
        <v>727835.40336900461</v>
      </c>
      <c r="O64" s="63">
        <f t="shared" si="3"/>
        <v>3015335.4033690039</v>
      </c>
      <c r="P64" s="66" t="str">
        <f t="shared" si="4"/>
        <v/>
      </c>
      <c r="Q64" s="67">
        <f t="shared" si="5"/>
        <v>7153.7409899706154</v>
      </c>
    </row>
    <row r="65" spans="1:17" ht="12.75" customHeight="1" x14ac:dyDescent="0.35">
      <c r="A65" s="69">
        <v>5</v>
      </c>
      <c r="B65" s="70" t="s">
        <v>122</v>
      </c>
      <c r="C65" s="71">
        <f>Premissas!$C$73+0.9166666667*(Premissas!$C$74-Premissas!$C$73)</f>
        <v>0.88958333333270001</v>
      </c>
      <c r="D65" s="72">
        <f>(1+Premissas!$C$26)^(4)</f>
        <v>1.3604889600000003</v>
      </c>
      <c r="E65" s="73">
        <f>Dimensionador!$C$22*(Premissas!$C$73+0.9166666667*(Premissas!$C$74-Premissas!$C$73))*Premissas!$C$21*(1+Premissas!$C$26)^(4)</f>
        <v>22456.901066203129</v>
      </c>
      <c r="F65" s="73">
        <f>Dimensionador!$C$7*Premissas!$C$13*(Premissas!$C$73+0.9166666667*(Premissas!$C$74-Premissas!$C$73))*Premissas!$C$20*(1+Premissas!$C$26)^(4)</f>
        <v>6081.404726215419</v>
      </c>
      <c r="G65" s="74">
        <f>Dimensionador!$C$7*Premissas!$C$25*(1+Premissas!$C$27)^(4)/12</f>
        <v>2063.4328183333332</v>
      </c>
      <c r="H65" s="75">
        <f>Premissas!$C$63*(1-Premissas!$C$32)^(4)</f>
        <v>54122.630237636724</v>
      </c>
      <c r="I65" s="76">
        <f>MIN(H65,Dimensionador!$C$7*Premissas!$C$13*(Premissas!$C$73+0.9166666667*(Premissas!$C$74-Premissas!$C$73)))</f>
        <v>7141.0309582782575</v>
      </c>
      <c r="J65" s="75">
        <f t="shared" si="0"/>
        <v>46981.599279358466</v>
      </c>
      <c r="K65" s="77">
        <f>Premissas!$C$35*(1+Premissas!$C$27)^(4)/12</f>
        <v>1113.7847598958333</v>
      </c>
      <c r="L65" s="73">
        <f>E65-F65+(I65+J65)*Premissas!$C$20*(1+Premissas!$C$26)^(4)</f>
        <v>62467.10709554889</v>
      </c>
      <c r="M65" s="77">
        <f t="shared" si="2"/>
        <v>59289.889517319723</v>
      </c>
      <c r="N65" s="77">
        <f t="shared" si="1"/>
        <v>787125.29288632434</v>
      </c>
      <c r="O65" s="77">
        <f t="shared" si="3"/>
        <v>3074625.2928863238</v>
      </c>
      <c r="P65" s="78" t="str">
        <f t="shared" si="4"/>
        <v/>
      </c>
      <c r="Q65" s="67">
        <f t="shared" si="5"/>
        <v>7141.0309582782575</v>
      </c>
    </row>
    <row r="66" spans="1:17" ht="12.75" customHeight="1" x14ac:dyDescent="0.35">
      <c r="A66" s="79">
        <v>6</v>
      </c>
      <c r="B66" s="80" t="s">
        <v>110</v>
      </c>
      <c r="C66" s="81">
        <f>Premissas!$C$74+0*(Premissas!$C$75-Premissas!$C$74)</f>
        <v>0.88800000000000001</v>
      </c>
      <c r="D66" s="82">
        <f>(1+Premissas!$C$26)^(5)</f>
        <v>1.4693280768000003</v>
      </c>
      <c r="E66" s="83">
        <f>Dimensionador!$C$22*(Premissas!$C$74+0*(Premissas!$C$75-Premissas!$C$74))*Premissas!$C$21*(1+Premissas!$C$26)^(5)</f>
        <v>24210.285412886315</v>
      </c>
      <c r="F66" s="83">
        <f>Dimensionador!$C$7*Premissas!$C$13*(Premissas!$C$74+0*(Premissas!$C$75-Premissas!$C$74))*Premissas!$C$20*(1+Premissas!$C$26)^(5)</f>
        <v>6556.227134763978</v>
      </c>
      <c r="G66" s="84">
        <f>Dimensionador!$C$7*Premissas!$C$25*(1+Premissas!$C$27)^(5)/12</f>
        <v>2125.3358028833331</v>
      </c>
      <c r="H66" s="85">
        <f>Premissas!$C$52*(1-Premissas!$C$32)^(5)</f>
        <v>53852.017086448541</v>
      </c>
      <c r="I66" s="85">
        <f>MIN(H66,Dimensionador!$C$7*Premissas!$C$13*(Premissas!$C$74+0*(Premissas!$C$75-Premissas!$C$74)))</f>
        <v>7128.3209266011509</v>
      </c>
      <c r="J66" s="85">
        <f t="shared" si="0"/>
        <v>46723.696159847386</v>
      </c>
      <c r="K66" s="83">
        <f>Premissas!$C$35*(1+Premissas!$C$27)^(5)/12</f>
        <v>1147.1983026927082</v>
      </c>
      <c r="L66" s="83">
        <f>E66-F66+(I66+J66)*Premissas!$C$20*(1+Premissas!$C$26)^(5)</f>
        <v>67184.103196048382</v>
      </c>
      <c r="M66" s="83">
        <f t="shared" si="2"/>
        <v>63911.569090472345</v>
      </c>
      <c r="N66" s="83">
        <f t="shared" si="1"/>
        <v>851036.86197679664</v>
      </c>
      <c r="O66" s="83">
        <f t="shared" si="3"/>
        <v>3138536.8619767963</v>
      </c>
      <c r="P66" s="86" t="str">
        <f t="shared" si="4"/>
        <v/>
      </c>
      <c r="Q66" s="67">
        <f t="shared" si="5"/>
        <v>7128.3209266011509</v>
      </c>
    </row>
    <row r="67" spans="1:17" ht="12.75" customHeight="1" x14ac:dyDescent="0.35">
      <c r="A67" s="87">
        <v>6</v>
      </c>
      <c r="B67" s="80" t="s">
        <v>112</v>
      </c>
      <c r="C67" s="81">
        <f>Premissas!$C$74+0.0833333333*(Premissas!$C$75-Premissas!$C$74)</f>
        <v>0.88650000000060003</v>
      </c>
      <c r="D67" s="82">
        <f>(1+Premissas!$C$26)^(5)</f>
        <v>1.4693280768000003</v>
      </c>
      <c r="E67" s="83">
        <f>Dimensionador!$C$22*(Premissas!$C$74+0.0833333333*(Premissas!$C$75-Premissas!$C$74))*Premissas!$C$21*(1+Premissas!$C$26)^(5)</f>
        <v>24169.389660516041</v>
      </c>
      <c r="F67" s="83">
        <f>Dimensionador!$C$7*Premissas!$C$13*(Premissas!$C$74+0.0833333333*(Premissas!$C$75-Premissas!$C$74))*Premissas!$C$20*(1+Premissas!$C$26)^(5)</f>
        <v>6545.1524267704954</v>
      </c>
      <c r="G67" s="84">
        <f>Dimensionador!$C$7*Premissas!$C$25*(1+Premissas!$C$27)^(5)/12</f>
        <v>2125.3358028833331</v>
      </c>
      <c r="H67" s="85">
        <f>Premissas!$C$53*(1-Premissas!$C$32)^(5)</f>
        <v>48640.531561953518</v>
      </c>
      <c r="I67" s="85">
        <f>MIN(H67,Dimensionador!$C$7*Premissas!$C$13*(Premissas!$C$74+0.0833333333*(Premissas!$C$75-Premissas!$C$74)))</f>
        <v>7116.2798439596818</v>
      </c>
      <c r="J67" s="85">
        <f t="shared" si="0"/>
        <v>41524.251717993837</v>
      </c>
      <c r="K67" s="83">
        <f>Premissas!$C$35*(1+Premissas!$C$27)^(5)/12</f>
        <v>1147.1983026927082</v>
      </c>
      <c r="L67" s="83">
        <f>E67-F67+(I67+J67)*Premissas!$C$20*(1+Premissas!$C$26)^(5)</f>
        <v>62361.051998323914</v>
      </c>
      <c r="M67" s="83">
        <f t="shared" si="2"/>
        <v>59088.51789274787</v>
      </c>
      <c r="N67" s="83">
        <f t="shared" si="1"/>
        <v>910125.37986954453</v>
      </c>
      <c r="O67" s="83">
        <f t="shared" si="3"/>
        <v>3197625.3798695439</v>
      </c>
      <c r="P67" s="86" t="str">
        <f t="shared" si="4"/>
        <v/>
      </c>
      <c r="Q67" s="67">
        <f t="shared" si="5"/>
        <v>7116.2798439596818</v>
      </c>
    </row>
    <row r="68" spans="1:17" ht="12.75" customHeight="1" x14ac:dyDescent="0.35">
      <c r="A68" s="87">
        <v>6</v>
      </c>
      <c r="B68" s="80" t="s">
        <v>113</v>
      </c>
      <c r="C68" s="81">
        <f>Premissas!$C$74+0.1666666667*(Premissas!$C$75-Premissas!$C$74)</f>
        <v>0.88499999999940004</v>
      </c>
      <c r="D68" s="82">
        <f>(1+Premissas!$C$26)^(5)</f>
        <v>1.4693280768000003</v>
      </c>
      <c r="E68" s="83">
        <f>Dimensionador!$C$22*(Premissas!$C$74+0.1666666667*(Premissas!$C$75-Premissas!$C$74))*Premissas!$C$21*(1+Premissas!$C$26)^(5)</f>
        <v>24128.493908096691</v>
      </c>
      <c r="F68" s="83">
        <f>Dimensionador!$C$7*Premissas!$C$13*(Premissas!$C$74+0.1666666667*(Premissas!$C$75-Premissas!$C$74))*Premissas!$C$20*(1+Premissas!$C$26)^(5)</f>
        <v>6534.0777187637223</v>
      </c>
      <c r="G68" s="84">
        <f>Dimensionador!$C$7*Premissas!$C$25*(1+Premissas!$C$27)^(5)/12</f>
        <v>2125.3358028833331</v>
      </c>
      <c r="H68" s="85">
        <f>Premissas!$C$54*(1-Premissas!$C$32)^(5)</f>
        <v>53852.017086448541</v>
      </c>
      <c r="I68" s="85">
        <f>MIN(H68,Dimensionador!$C$7*Premissas!$C$13*(Premissas!$C$74+0.1666666667*(Premissas!$C$75-Premissas!$C$74)))</f>
        <v>7104.2387613037627</v>
      </c>
      <c r="J68" s="85">
        <f t="shared" si="0"/>
        <v>46747.778325144776</v>
      </c>
      <c r="K68" s="83">
        <f>Premissas!$C$35*(1+Premissas!$C$27)^(5)/12</f>
        <v>1147.1983026927082</v>
      </c>
      <c r="L68" s="83">
        <f>E68-F68+(I68+J68)*Premissas!$C$20*(1+Premissas!$C$26)^(5)</f>
        <v>67124.46110725902</v>
      </c>
      <c r="M68" s="83">
        <f t="shared" si="2"/>
        <v>63851.927001682983</v>
      </c>
      <c r="N68" s="83">
        <f t="shared" si="1"/>
        <v>973977.30687122745</v>
      </c>
      <c r="O68" s="83">
        <f t="shared" si="3"/>
        <v>3261477.306871227</v>
      </c>
      <c r="P68" s="86" t="str">
        <f t="shared" si="4"/>
        <v/>
      </c>
      <c r="Q68" s="67">
        <f t="shared" si="5"/>
        <v>7104.2387613037627</v>
      </c>
    </row>
    <row r="69" spans="1:17" ht="12.75" customHeight="1" x14ac:dyDescent="0.35">
      <c r="A69" s="87">
        <v>6</v>
      </c>
      <c r="B69" s="80" t="s">
        <v>114</v>
      </c>
      <c r="C69" s="81">
        <f>Premissas!$C$74+0.25*(Premissas!$C$75-Premissas!$C$74)</f>
        <v>0.88349999999999995</v>
      </c>
      <c r="D69" s="82">
        <f>(1+Premissas!$C$26)^(5)</f>
        <v>1.4693280768000003</v>
      </c>
      <c r="E69" s="83">
        <f>Dimensionador!$C$22*(Premissas!$C$74+0.25*(Premissas!$C$75-Premissas!$C$74))*Premissas!$C$21*(1+Premissas!$C$26)^(5)</f>
        <v>24087.598155726417</v>
      </c>
      <c r="F69" s="83">
        <f>Dimensionador!$C$7*Premissas!$C$13*(Premissas!$C$74+0.25*(Premissas!$C$75-Premissas!$C$74))*Premissas!$C$20*(1+Premissas!$C$26)^(5)</f>
        <v>6523.0030107702396</v>
      </c>
      <c r="G69" s="84">
        <f>Dimensionador!$C$7*Premissas!$C$25*(1+Premissas!$C$27)^(5)/12</f>
        <v>2125.3358028833331</v>
      </c>
      <c r="H69" s="85">
        <f>Premissas!$C$55*(1-Premissas!$C$32)^(5)</f>
        <v>52114.855244950202</v>
      </c>
      <c r="I69" s="85">
        <f>MIN(H69,Dimensionador!$C$7*Premissas!$C$13*(Premissas!$C$74+0.25*(Premissas!$C$75-Premissas!$C$74)))</f>
        <v>7092.1976786622927</v>
      </c>
      <c r="J69" s="85">
        <f t="shared" si="0"/>
        <v>45022.657566287911</v>
      </c>
      <c r="K69" s="83">
        <f>Premissas!$C$35*(1+Premissas!$C$27)^(5)/12</f>
        <v>1147.1983026927082</v>
      </c>
      <c r="L69" s="83">
        <f>E69-F69+(I69+J69)*Premissas!$C$20*(1+Premissas!$C$26)^(5)</f>
        <v>65496.896678432997</v>
      </c>
      <c r="M69" s="83">
        <f t="shared" si="2"/>
        <v>62224.36257285696</v>
      </c>
      <c r="N69" s="83">
        <f t="shared" si="1"/>
        <v>1036201.6694440844</v>
      </c>
      <c r="O69" s="83">
        <f t="shared" si="3"/>
        <v>3323701.6694440842</v>
      </c>
      <c r="P69" s="86" t="str">
        <f t="shared" si="4"/>
        <v/>
      </c>
      <c r="Q69" s="67">
        <f t="shared" si="5"/>
        <v>7092.1976786622927</v>
      </c>
    </row>
    <row r="70" spans="1:17" ht="12.75" customHeight="1" x14ac:dyDescent="0.35">
      <c r="A70" s="87">
        <v>6</v>
      </c>
      <c r="B70" s="80" t="s">
        <v>115</v>
      </c>
      <c r="C70" s="81">
        <f>Premissas!$C$74+0.3333333333*(Premissas!$C$75-Premissas!$C$74)</f>
        <v>0.88200000000059997</v>
      </c>
      <c r="D70" s="82">
        <f>(1+Premissas!$C$26)^(5)</f>
        <v>1.4693280768000003</v>
      </c>
      <c r="E70" s="83">
        <f>Dimensionador!$C$22*(Premissas!$C$74+0.3333333333*(Premissas!$C$75-Premissas!$C$74))*Premissas!$C$21*(1+Premissas!$C$26)^(5)</f>
        <v>24046.702403356139</v>
      </c>
      <c r="F70" s="83">
        <f>Dimensionador!$C$7*Premissas!$C$13*(Premissas!$C$74+0.3333333333*(Premissas!$C$75-Premissas!$C$74))*Premissas!$C$20*(1+Premissas!$C$26)^(5)</f>
        <v>6511.9283027767578</v>
      </c>
      <c r="G70" s="84">
        <f>Dimensionador!$C$7*Premissas!$C$25*(1+Premissas!$C$27)^(5)/12</f>
        <v>2125.3358028833331</v>
      </c>
      <c r="H70" s="85">
        <f>Premissas!$C$56*(1-Premissas!$C$32)^(5)</f>
        <v>53852.017086448541</v>
      </c>
      <c r="I70" s="85">
        <f>MIN(H70,Dimensionador!$C$7*Premissas!$C$13*(Premissas!$C$74+0.3333333333*(Premissas!$C$75-Premissas!$C$74)))</f>
        <v>7080.1565960208236</v>
      </c>
      <c r="J70" s="85">
        <f t="shared" ref="J70:J133" si="6">MAX(0,H70-I70)</f>
        <v>46771.860490427716</v>
      </c>
      <c r="K70" s="83">
        <f>Premissas!$C$35*(1+Premissas!$C$27)^(5)/12</f>
        <v>1147.1983026927082</v>
      </c>
      <c r="L70" s="83">
        <f>E70-F70+(I70+J70)*Premissas!$C$20*(1+Premissas!$C$26)^(5)</f>
        <v>67064.819018505426</v>
      </c>
      <c r="M70" s="83">
        <f t="shared" ref="M70:M133" si="7">L70-G70-K70</f>
        <v>63792.28491292939</v>
      </c>
      <c r="N70" s="83">
        <f t="shared" ref="N70:N133" si="8">N69+M70</f>
        <v>1099993.9543570138</v>
      </c>
      <c r="O70" s="83">
        <f t="shared" si="3"/>
        <v>3387493.9543570136</v>
      </c>
      <c r="P70" s="86" t="str">
        <f t="shared" si="4"/>
        <v/>
      </c>
      <c r="Q70" s="67">
        <f t="shared" si="5"/>
        <v>7080.1565960208236</v>
      </c>
    </row>
    <row r="71" spans="1:17" ht="12.75" customHeight="1" x14ac:dyDescent="0.35">
      <c r="A71" s="87">
        <v>6</v>
      </c>
      <c r="B71" s="80" t="s">
        <v>116</v>
      </c>
      <c r="C71" s="81">
        <f>Premissas!$C$74+0.4166666667*(Premissas!$C$75-Premissas!$C$74)</f>
        <v>0.88049999999939998</v>
      </c>
      <c r="D71" s="82">
        <f>(1+Premissas!$C$26)^(5)</f>
        <v>1.4693280768000003</v>
      </c>
      <c r="E71" s="83">
        <f>Dimensionador!$C$22*(Premissas!$C$74+0.4166666667*(Premissas!$C$75-Premissas!$C$74))*Premissas!$C$21*(1+Premissas!$C$26)^(5)</f>
        <v>24005.806650936789</v>
      </c>
      <c r="F71" s="83">
        <f>Dimensionador!$C$7*Premissas!$C$13*(Premissas!$C$74+0.4166666667*(Premissas!$C$75-Premissas!$C$74))*Premissas!$C$20*(1+Premissas!$C$26)^(5)</f>
        <v>6500.8535947699856</v>
      </c>
      <c r="G71" s="84">
        <f>Dimensionador!$C$7*Premissas!$C$25*(1+Premissas!$C$27)^(5)/12</f>
        <v>2125.3358028833331</v>
      </c>
      <c r="H71" s="85">
        <f>Premissas!$C$57*(1-Premissas!$C$32)^(5)</f>
        <v>52114.855244950202</v>
      </c>
      <c r="I71" s="85">
        <f>MIN(H71,Dimensionador!$C$7*Premissas!$C$13*(Premissas!$C$74+0.4166666667*(Premissas!$C$75-Premissas!$C$74)))</f>
        <v>7068.1155133649054</v>
      </c>
      <c r="J71" s="85">
        <f t="shared" si="6"/>
        <v>45046.739731585294</v>
      </c>
      <c r="K71" s="83">
        <f>Premissas!$C$35*(1+Premissas!$C$27)^(5)/12</f>
        <v>1147.1983026927082</v>
      </c>
      <c r="L71" s="83">
        <f>E71-F71+(I71+J71)*Premissas!$C$20*(1+Premissas!$C$26)^(5)</f>
        <v>65437.25458964362</v>
      </c>
      <c r="M71" s="83">
        <f t="shared" si="7"/>
        <v>62164.720484067584</v>
      </c>
      <c r="N71" s="83">
        <f t="shared" si="8"/>
        <v>1162158.6748410815</v>
      </c>
      <c r="O71" s="83">
        <f t="shared" ref="O71:O134" si="9">O70+M71</f>
        <v>3449658.6748410813</v>
      </c>
      <c r="P71" s="86" t="str">
        <f t="shared" ref="P71:P134" si="10">IF(AND(N71&gt;=0,N70&lt;0),"✅ PAYBACK","")</f>
        <v/>
      </c>
      <c r="Q71" s="67">
        <f t="shared" si="5"/>
        <v>7068.1155133649054</v>
      </c>
    </row>
    <row r="72" spans="1:17" ht="12.75" customHeight="1" x14ac:dyDescent="0.35">
      <c r="A72" s="87">
        <v>6</v>
      </c>
      <c r="B72" s="80" t="s">
        <v>117</v>
      </c>
      <c r="C72" s="81">
        <f>Premissas!$C$74+0.5*(Premissas!$C$75-Premissas!$C$74)</f>
        <v>0.879</v>
      </c>
      <c r="D72" s="82">
        <f>(1+Premissas!$C$26)^(5)</f>
        <v>1.4693280768000003</v>
      </c>
      <c r="E72" s="83">
        <f>Dimensionador!$C$22*(Premissas!$C$74+0.5*(Premissas!$C$75-Premissas!$C$74))*Premissas!$C$21*(1+Premissas!$C$26)^(5)</f>
        <v>23964.910898566519</v>
      </c>
      <c r="F72" s="83">
        <f>Dimensionador!$C$7*Premissas!$C$13*(Premissas!$C$74+0.5*(Premissas!$C$75-Premissas!$C$74))*Premissas!$C$20*(1+Premissas!$C$26)^(5)</f>
        <v>6489.7788867765039</v>
      </c>
      <c r="G72" s="84">
        <f>Dimensionador!$C$7*Premissas!$C$25*(1+Premissas!$C$27)^(5)/12</f>
        <v>2125.3358028833331</v>
      </c>
      <c r="H72" s="85">
        <f>Premissas!$C$58*(1-Premissas!$C$32)^(5)</f>
        <v>53852.017086448541</v>
      </c>
      <c r="I72" s="85">
        <f>MIN(H72,Dimensionador!$C$7*Premissas!$C$13*(Premissas!$C$74+0.5*(Premissas!$C$75-Premissas!$C$74)))</f>
        <v>7056.0744307234363</v>
      </c>
      <c r="J72" s="85">
        <f t="shared" si="6"/>
        <v>46795.942655725106</v>
      </c>
      <c r="K72" s="83">
        <f>Premissas!$C$35*(1+Premissas!$C$27)^(5)/12</f>
        <v>1147.1983026927082</v>
      </c>
      <c r="L72" s="83">
        <f>E72-F72+(I72+J72)*Premissas!$C$20*(1+Premissas!$C$26)^(5)</f>
        <v>67005.176929716064</v>
      </c>
      <c r="M72" s="83">
        <f t="shared" si="7"/>
        <v>63732.642824140028</v>
      </c>
      <c r="N72" s="83">
        <f t="shared" si="8"/>
        <v>1225891.3176652216</v>
      </c>
      <c r="O72" s="83">
        <f t="shared" si="9"/>
        <v>3513391.3176652212</v>
      </c>
      <c r="P72" s="86" t="str">
        <f t="shared" si="10"/>
        <v/>
      </c>
      <c r="Q72" s="67">
        <f t="shared" si="5"/>
        <v>7056.0744307234363</v>
      </c>
    </row>
    <row r="73" spans="1:17" ht="12.75" customHeight="1" x14ac:dyDescent="0.35">
      <c r="A73" s="87">
        <v>6</v>
      </c>
      <c r="B73" s="80" t="s">
        <v>118</v>
      </c>
      <c r="C73" s="81">
        <f>Premissas!$C$74+0.5833333333*(Premissas!$C$75-Premissas!$C$74)</f>
        <v>0.87750000000060002</v>
      </c>
      <c r="D73" s="82">
        <f>(1+Premissas!$C$26)^(5)</f>
        <v>1.4693280768000003</v>
      </c>
      <c r="E73" s="83">
        <f>Dimensionador!$C$22*(Premissas!$C$74+0.5833333333*(Premissas!$C$75-Premissas!$C$74))*Premissas!$C$21*(1+Premissas!$C$26)^(5)</f>
        <v>23924.015146196245</v>
      </c>
      <c r="F73" s="83">
        <f>Dimensionador!$C$7*Premissas!$C$13*(Premissas!$C$74+0.5833333333*(Premissas!$C$75-Premissas!$C$74))*Premissas!$C$20*(1+Premissas!$C$26)^(5)</f>
        <v>6478.7041787830231</v>
      </c>
      <c r="G73" s="84">
        <f>Dimensionador!$C$7*Premissas!$C$25*(1+Premissas!$C$27)^(5)/12</f>
        <v>2125.3358028833331</v>
      </c>
      <c r="H73" s="85">
        <f>Premissas!$C$59*(1-Premissas!$C$32)^(5)</f>
        <v>53852.017086448541</v>
      </c>
      <c r="I73" s="85">
        <f>MIN(H73,Dimensionador!$C$7*Premissas!$C$13*(Premissas!$C$74+0.5833333333*(Premissas!$C$75-Premissas!$C$74)))</f>
        <v>7044.0333480819672</v>
      </c>
      <c r="J73" s="85">
        <f t="shared" si="6"/>
        <v>46807.983738366573</v>
      </c>
      <c r="K73" s="83">
        <f>Premissas!$C$35*(1+Premissas!$C$27)^(5)/12</f>
        <v>1147.1983026927082</v>
      </c>
      <c r="L73" s="83">
        <f>E73-F73+(I73+J73)*Premissas!$C$20*(1+Premissas!$C$26)^(5)</f>
        <v>66975.355885339261</v>
      </c>
      <c r="M73" s="83">
        <f t="shared" si="7"/>
        <v>63702.821779763224</v>
      </c>
      <c r="N73" s="83">
        <f t="shared" si="8"/>
        <v>1289594.139444985</v>
      </c>
      <c r="O73" s="83">
        <f t="shared" si="9"/>
        <v>3577094.1394449845</v>
      </c>
      <c r="P73" s="86" t="str">
        <f t="shared" si="10"/>
        <v/>
      </c>
      <c r="Q73" s="67">
        <f t="shared" si="5"/>
        <v>7044.0333480819672</v>
      </c>
    </row>
    <row r="74" spans="1:17" ht="12.75" customHeight="1" x14ac:dyDescent="0.35">
      <c r="A74" s="87">
        <v>6</v>
      </c>
      <c r="B74" s="80" t="s">
        <v>119</v>
      </c>
      <c r="C74" s="81">
        <f>Premissas!$C$74+0.6666666667*(Premissas!$C$75-Premissas!$C$74)</f>
        <v>0.87599999999940004</v>
      </c>
      <c r="D74" s="82">
        <f>(1+Premissas!$C$26)^(5)</f>
        <v>1.4693280768000003</v>
      </c>
      <c r="E74" s="83">
        <f>Dimensionador!$C$22*(Premissas!$C$74+0.6666666667*(Premissas!$C$75-Premissas!$C$74))*Premissas!$C$21*(1+Premissas!$C$26)^(5)</f>
        <v>23883.119393776899</v>
      </c>
      <c r="F74" s="83">
        <f>Dimensionador!$C$7*Premissas!$C$13*(Premissas!$C$74+0.6666666667*(Premissas!$C$75-Premissas!$C$74))*Premissas!$C$20*(1+Premissas!$C$26)^(5)</f>
        <v>6467.629470776249</v>
      </c>
      <c r="G74" s="84">
        <f>Dimensionador!$C$7*Premissas!$C$25*(1+Premissas!$C$27)^(5)/12</f>
        <v>2125.3358028833331</v>
      </c>
      <c r="H74" s="85">
        <f>Premissas!$C$60*(1-Premissas!$C$32)^(5)</f>
        <v>52114.855244950202</v>
      </c>
      <c r="I74" s="85">
        <f>MIN(H74,Dimensionador!$C$7*Premissas!$C$13*(Premissas!$C$74+0.6666666667*(Premissas!$C$75-Premissas!$C$74)))</f>
        <v>7031.9922654260481</v>
      </c>
      <c r="J74" s="85">
        <f t="shared" si="6"/>
        <v>45082.862979524158</v>
      </c>
      <c r="K74" s="83">
        <f>Premissas!$C$35*(1+Premissas!$C$27)^(5)/12</f>
        <v>1147.1983026927082</v>
      </c>
      <c r="L74" s="83">
        <f>E74-F74+(I74+J74)*Premissas!$C$20*(1+Premissas!$C$26)^(5)</f>
        <v>65347.791456477469</v>
      </c>
      <c r="M74" s="83">
        <f t="shared" si="7"/>
        <v>62075.257350901433</v>
      </c>
      <c r="N74" s="83">
        <f t="shared" si="8"/>
        <v>1351669.3967958863</v>
      </c>
      <c r="O74" s="83">
        <f t="shared" si="9"/>
        <v>3639169.3967958861</v>
      </c>
      <c r="P74" s="86" t="str">
        <f t="shared" si="10"/>
        <v/>
      </c>
      <c r="Q74" s="67">
        <f t="shared" si="5"/>
        <v>7031.9922654260481</v>
      </c>
    </row>
    <row r="75" spans="1:17" ht="12.75" customHeight="1" x14ac:dyDescent="0.35">
      <c r="A75" s="87">
        <v>6</v>
      </c>
      <c r="B75" s="80" t="s">
        <v>120</v>
      </c>
      <c r="C75" s="81">
        <f>Premissas!$C$74+0.75*(Premissas!$C$75-Premissas!$C$74)</f>
        <v>0.87450000000000006</v>
      </c>
      <c r="D75" s="82">
        <f>(1+Premissas!$C$26)^(5)</f>
        <v>1.4693280768000003</v>
      </c>
      <c r="E75" s="83">
        <f>Dimensionador!$C$22*(Premissas!$C$74+0.75*(Premissas!$C$75-Premissas!$C$74))*Premissas!$C$21*(1+Premissas!$C$26)^(5)</f>
        <v>23842.223641406625</v>
      </c>
      <c r="F75" s="83">
        <f>Dimensionador!$C$7*Premissas!$C$13*(Premissas!$C$74+0.75*(Premissas!$C$75-Premissas!$C$74))*Premissas!$C$20*(1+Premissas!$C$26)^(5)</f>
        <v>6456.5547627827673</v>
      </c>
      <c r="G75" s="84">
        <f>Dimensionador!$C$7*Premissas!$C$25*(1+Premissas!$C$27)^(5)/12</f>
        <v>2125.3358028833331</v>
      </c>
      <c r="H75" s="85">
        <f>Premissas!$C$61*(1-Premissas!$C$32)^(5)</f>
        <v>53852.017086448541</v>
      </c>
      <c r="I75" s="85">
        <f>MIN(H75,Dimensionador!$C$7*Premissas!$C$13*(Premissas!$C$74+0.75*(Premissas!$C$75-Premissas!$C$74)))</f>
        <v>7019.951182784579</v>
      </c>
      <c r="J75" s="85">
        <f t="shared" si="6"/>
        <v>46832.065903663963</v>
      </c>
      <c r="K75" s="83">
        <f>Premissas!$C$35*(1+Premissas!$C$27)^(5)/12</f>
        <v>1147.1983026927082</v>
      </c>
      <c r="L75" s="83">
        <f>E75-F75+(I75+J75)*Premissas!$C$20*(1+Premissas!$C$26)^(5)</f>
        <v>66915.713796549913</v>
      </c>
      <c r="M75" s="83">
        <f t="shared" si="7"/>
        <v>63643.179690973877</v>
      </c>
      <c r="N75" s="83">
        <f t="shared" si="8"/>
        <v>1415312.5764868602</v>
      </c>
      <c r="O75" s="83">
        <f t="shared" si="9"/>
        <v>3702812.5764868599</v>
      </c>
      <c r="P75" s="86" t="str">
        <f t="shared" si="10"/>
        <v/>
      </c>
      <c r="Q75" s="67">
        <f t="shared" si="5"/>
        <v>7019.951182784579</v>
      </c>
    </row>
    <row r="76" spans="1:17" ht="12.75" customHeight="1" x14ac:dyDescent="0.35">
      <c r="A76" s="87">
        <v>6</v>
      </c>
      <c r="B76" s="80" t="s">
        <v>121</v>
      </c>
      <c r="C76" s="81">
        <f>Premissas!$C$74+0.8333333333*(Premissas!$C$75-Premissas!$C$74)</f>
        <v>0.87300000000059996</v>
      </c>
      <c r="D76" s="82">
        <f>(1+Premissas!$C$26)^(5)</f>
        <v>1.4693280768000003</v>
      </c>
      <c r="E76" s="83">
        <f>Dimensionador!$C$22*(Premissas!$C$74+0.8333333333*(Premissas!$C$75-Premissas!$C$74))*Premissas!$C$21*(1+Premissas!$C$26)^(5)</f>
        <v>23801.327889036347</v>
      </c>
      <c r="F76" s="83">
        <f>Dimensionador!$C$7*Premissas!$C$13*(Premissas!$C$74+0.8333333333*(Premissas!$C$75-Premissas!$C$74))*Premissas!$C$20*(1+Premissas!$C$26)^(5)</f>
        <v>6445.4800547892846</v>
      </c>
      <c r="G76" s="84">
        <f>Dimensionador!$C$7*Premissas!$C$25*(1+Premissas!$C$27)^(5)/12</f>
        <v>2125.3358028833331</v>
      </c>
      <c r="H76" s="85">
        <f>Premissas!$C$62*(1-Premissas!$C$32)^(5)</f>
        <v>52114.855244950202</v>
      </c>
      <c r="I76" s="85">
        <f>MIN(H76,Dimensionador!$C$7*Premissas!$C$13*(Premissas!$C$74+0.8333333333*(Premissas!$C$75-Premissas!$C$74)))</f>
        <v>7007.910100143109</v>
      </c>
      <c r="J76" s="85">
        <f t="shared" si="6"/>
        <v>45106.94514480709</v>
      </c>
      <c r="K76" s="83">
        <f>Premissas!$C$35*(1+Premissas!$C$27)^(5)/12</f>
        <v>1147.1983026927082</v>
      </c>
      <c r="L76" s="83">
        <f>E76-F76+(I76+J76)*Premissas!$C$20*(1+Premissas!$C$26)^(5)</f>
        <v>65288.149367723883</v>
      </c>
      <c r="M76" s="83">
        <f t="shared" si="7"/>
        <v>62015.61526214784</v>
      </c>
      <c r="N76" s="83">
        <f t="shared" si="8"/>
        <v>1477328.1917490079</v>
      </c>
      <c r="O76" s="83">
        <f t="shared" si="9"/>
        <v>3764828.1917490079</v>
      </c>
      <c r="P76" s="86" t="str">
        <f t="shared" si="10"/>
        <v/>
      </c>
      <c r="Q76" s="67">
        <f t="shared" si="5"/>
        <v>7007.910100143109</v>
      </c>
    </row>
    <row r="77" spans="1:17" ht="12.75" customHeight="1" x14ac:dyDescent="0.35">
      <c r="A77" s="88">
        <v>6</v>
      </c>
      <c r="B77" s="89" t="s">
        <v>122</v>
      </c>
      <c r="C77" s="90">
        <f>Premissas!$C$74+0.9166666667*(Premissas!$C$75-Premissas!$C$74)</f>
        <v>0.87149999999939998</v>
      </c>
      <c r="D77" s="91">
        <f>(1+Premissas!$C$26)^(5)</f>
        <v>1.4693280768000003</v>
      </c>
      <c r="E77" s="92">
        <f>Dimensionador!$C$22*(Premissas!$C$74+0.9166666667*(Premissas!$C$75-Premissas!$C$74))*Premissas!$C$21*(1+Premissas!$C$26)^(5)</f>
        <v>23760.432136616997</v>
      </c>
      <c r="F77" s="92">
        <f>Dimensionador!$C$7*Premissas!$C$13*(Premissas!$C$74+0.9166666667*(Premissas!$C$75-Premissas!$C$74))*Premissas!$C$20*(1+Premissas!$C$26)^(5)</f>
        <v>6434.4053467825124</v>
      </c>
      <c r="G77" s="93">
        <f>Dimensionador!$C$7*Premissas!$C$25*(1+Premissas!$C$27)^(5)/12</f>
        <v>2125.3358028833331</v>
      </c>
      <c r="H77" s="94">
        <f>Premissas!$C$63*(1-Premissas!$C$32)^(5)</f>
        <v>53852.017086448541</v>
      </c>
      <c r="I77" s="95">
        <f>MIN(H77,Dimensionador!$C$7*Premissas!$C$13*(Premissas!$C$74+0.9166666667*(Premissas!$C$75-Premissas!$C$74)))</f>
        <v>6995.8690174871908</v>
      </c>
      <c r="J77" s="94">
        <f t="shared" si="6"/>
        <v>46856.148068961353</v>
      </c>
      <c r="K77" s="96">
        <f>Premissas!$C$35*(1+Premissas!$C$27)^(5)/12</f>
        <v>1147.1983026927082</v>
      </c>
      <c r="L77" s="92">
        <f>E77-F77+(I77+J77)*Premissas!$C$20*(1+Premissas!$C$26)^(5)</f>
        <v>66856.071707760537</v>
      </c>
      <c r="M77" s="96">
        <f t="shared" si="7"/>
        <v>63583.5376021845</v>
      </c>
      <c r="N77" s="96">
        <f t="shared" si="8"/>
        <v>1540911.7293511925</v>
      </c>
      <c r="O77" s="96">
        <f t="shared" si="9"/>
        <v>3828411.7293511922</v>
      </c>
      <c r="P77" s="97" t="str">
        <f t="shared" si="10"/>
        <v/>
      </c>
      <c r="Q77" s="67">
        <f t="shared" si="5"/>
        <v>6995.8690174871908</v>
      </c>
    </row>
    <row r="78" spans="1:17" ht="12.75" customHeight="1" x14ac:dyDescent="0.35">
      <c r="A78" s="59">
        <v>7</v>
      </c>
      <c r="B78" s="60" t="s">
        <v>110</v>
      </c>
      <c r="C78" s="61">
        <f>Premissas!$C$75+0*(Premissas!$C$76-Premissas!$C$75)</f>
        <v>0.87</v>
      </c>
      <c r="D78" s="62">
        <f>(1+Premissas!$C$26)^(6)</f>
        <v>1.5868743229440005</v>
      </c>
      <c r="E78" s="63">
        <f>Dimensionador!$C$22*(Premissas!$C$75+0*(Premissas!$C$76-Premissas!$C$75))*Premissas!$C$21*(1+Premissas!$C$26)^(6)</f>
        <v>25617.099294986463</v>
      </c>
      <c r="F78" s="63">
        <f>Dimensionador!$C$7*Premissas!$C$13*(Premissas!$C$75+0*(Premissas!$C$76-Premissas!$C$75))*Premissas!$C$20*(1+Premissas!$C$26)^(6)</f>
        <v>6937.1970898921536</v>
      </c>
      <c r="G78" s="64">
        <f>Dimensionador!$C$7*Premissas!$C$25*(1+Premissas!$C$27)^(6)/12</f>
        <v>2189.0958769698332</v>
      </c>
      <c r="H78" s="65">
        <f>Premissas!$C$52*(1-Premissas!$C$32)^(6)</f>
        <v>53582.757001016296</v>
      </c>
      <c r="I78" s="65">
        <f>MIN(H78,Dimensionador!$C$7*Premissas!$C$13*(Premissas!$C$75+0*(Premissas!$C$76-Premissas!$C$75)))</f>
        <v>6983.8279348457218</v>
      </c>
      <c r="J78" s="65">
        <f t="shared" si="6"/>
        <v>46598.929066170575</v>
      </c>
      <c r="K78" s="63">
        <f>Premissas!$C$35*(1+Premissas!$C$27)^(6)/12</f>
        <v>1181.6142517734895</v>
      </c>
      <c r="L78" s="63">
        <f>E78-F78+(I78+J78)*Premissas!$C$20*(1+Premissas!$C$26)^(6)</f>
        <v>71904.888473897649</v>
      </c>
      <c r="M78" s="63">
        <f t="shared" si="7"/>
        <v>68534.178345154331</v>
      </c>
      <c r="N78" s="63">
        <f t="shared" si="8"/>
        <v>1609445.9076963468</v>
      </c>
      <c r="O78" s="63">
        <f t="shared" si="9"/>
        <v>3896945.9076963468</v>
      </c>
      <c r="P78" s="66" t="str">
        <f t="shared" si="10"/>
        <v/>
      </c>
      <c r="Q78" s="67">
        <f t="shared" si="5"/>
        <v>6983.8279348457218</v>
      </c>
    </row>
    <row r="79" spans="1:17" ht="12.75" customHeight="1" x14ac:dyDescent="0.35">
      <c r="A79" s="68">
        <v>7</v>
      </c>
      <c r="B79" s="60" t="s">
        <v>112</v>
      </c>
      <c r="C79" s="61">
        <f>Premissas!$C$75+0.0833333333*(Premissas!$C$76-Premissas!$C$75)</f>
        <v>0.86850000000060001</v>
      </c>
      <c r="D79" s="62">
        <f>(1+Premissas!$C$26)^(6)</f>
        <v>1.5868743229440005</v>
      </c>
      <c r="E79" s="63">
        <f>Dimensionador!$C$22*(Premissas!$C$75+0.0833333333*(Premissas!$C$76-Premissas!$C$75))*Premissas!$C$21*(1+Premissas!$C$26)^(6)</f>
        <v>25572.931882426568</v>
      </c>
      <c r="F79" s="63">
        <f>Dimensionador!$C$7*Premissas!$C$13*(Premissas!$C$75+0.0833333333*(Premissas!$C$76-Premissas!$C$75))*Premissas!$C$20*(1+Premissas!$C$26)^(6)</f>
        <v>6925.2364052591929</v>
      </c>
      <c r="G79" s="64">
        <f>Dimensionador!$C$7*Premissas!$C$25*(1+Premissas!$C$27)^(6)/12</f>
        <v>2189.0958769698332</v>
      </c>
      <c r="H79" s="65">
        <f>Premissas!$C$53*(1-Premissas!$C$32)^(6)</f>
        <v>48397.328904143753</v>
      </c>
      <c r="I79" s="65">
        <f>MIN(H79,Dimensionador!$C$7*Premissas!$C$13*(Premissas!$C$75+0.0833333333*(Premissas!$C$76-Premissas!$C$75)))</f>
        <v>6971.7868522042527</v>
      </c>
      <c r="J79" s="65">
        <f t="shared" si="6"/>
        <v>41425.542051939497</v>
      </c>
      <c r="K79" s="63">
        <f>Premissas!$C$35*(1+Premissas!$C$27)^(6)/12</f>
        <v>1181.6142517734895</v>
      </c>
      <c r="L79" s="63">
        <f>E79-F79+(I79+J79)*Premissas!$C$20*(1+Premissas!$C$26)^(6)</f>
        <v>66721.8766231833</v>
      </c>
      <c r="M79" s="63">
        <f t="shared" si="7"/>
        <v>63351.166494439974</v>
      </c>
      <c r="N79" s="63">
        <f t="shared" si="8"/>
        <v>1672797.0741907868</v>
      </c>
      <c r="O79" s="63">
        <f t="shared" si="9"/>
        <v>3960297.0741907866</v>
      </c>
      <c r="P79" s="66" t="str">
        <f t="shared" si="10"/>
        <v/>
      </c>
      <c r="Q79" s="67">
        <f t="shared" si="5"/>
        <v>6971.7868522042527</v>
      </c>
    </row>
    <row r="80" spans="1:17" ht="12.75" customHeight="1" x14ac:dyDescent="0.35">
      <c r="A80" s="68">
        <v>7</v>
      </c>
      <c r="B80" s="60" t="s">
        <v>113</v>
      </c>
      <c r="C80" s="61">
        <f>Premissas!$C$75+0.1666666667*(Premissas!$C$76-Premissas!$C$75)</f>
        <v>0.86699999999940003</v>
      </c>
      <c r="D80" s="62">
        <f>(1+Premissas!$C$26)^(6)</f>
        <v>1.5868743229440005</v>
      </c>
      <c r="E80" s="63">
        <f>Dimensionador!$C$22*(Premissas!$C$75+0.1666666667*(Premissas!$C$76-Premissas!$C$75))*Premissas!$C$21*(1+Premissas!$C$26)^(6)</f>
        <v>25528.764469813676</v>
      </c>
      <c r="F80" s="63">
        <f>Dimensionador!$C$7*Premissas!$C$13*(Premissas!$C$75+0.1666666667*(Premissas!$C$76-Premissas!$C$75))*Premissas!$C$20*(1+Premissas!$C$26)^(6)</f>
        <v>6913.2757206118813</v>
      </c>
      <c r="G80" s="64">
        <f>Dimensionador!$C$7*Premissas!$C$25*(1+Premissas!$C$27)^(6)/12</f>
        <v>2189.0958769698332</v>
      </c>
      <c r="H80" s="65">
        <f>Premissas!$C$54*(1-Premissas!$C$32)^(6)</f>
        <v>53582.757001016296</v>
      </c>
      <c r="I80" s="65">
        <f>MIN(H80,Dimensionador!$C$7*Premissas!$C$13*(Premissas!$C$75+0.1666666667*(Premissas!$C$76-Premissas!$C$75)))</f>
        <v>6959.7457695483345</v>
      </c>
      <c r="J80" s="65">
        <f t="shared" si="6"/>
        <v>46623.011231467965</v>
      </c>
      <c r="K80" s="63">
        <f>Premissas!$C$35*(1+Premissas!$C$27)^(6)/12</f>
        <v>1181.6142517734895</v>
      </c>
      <c r="L80" s="63">
        <f>E80-F80+(I80+J80)*Premissas!$C$20*(1+Premissas!$C$26)^(6)</f>
        <v>71840.475018005134</v>
      </c>
      <c r="M80" s="63">
        <f t="shared" si="7"/>
        <v>68469.764889261816</v>
      </c>
      <c r="N80" s="63">
        <f t="shared" si="8"/>
        <v>1741266.8390800487</v>
      </c>
      <c r="O80" s="63">
        <f t="shared" si="9"/>
        <v>4028766.8390800483</v>
      </c>
      <c r="P80" s="66" t="str">
        <f t="shared" si="10"/>
        <v/>
      </c>
      <c r="Q80" s="67">
        <f t="shared" si="5"/>
        <v>6959.7457695483345</v>
      </c>
    </row>
    <row r="81" spans="1:17" ht="12.75" customHeight="1" x14ac:dyDescent="0.35">
      <c r="A81" s="68">
        <v>7</v>
      </c>
      <c r="B81" s="60" t="s">
        <v>114</v>
      </c>
      <c r="C81" s="61">
        <f>Premissas!$C$75+0.25*(Premissas!$C$76-Premissas!$C$75)</f>
        <v>0.86549999999999994</v>
      </c>
      <c r="D81" s="62">
        <f>(1+Premissas!$C$26)^(6)</f>
        <v>1.5868743229440005</v>
      </c>
      <c r="E81" s="63">
        <f>Dimensionador!$C$22*(Premissas!$C$75+0.25*(Premissas!$C$76-Premissas!$C$75))*Premissas!$C$21*(1+Premissas!$C$26)^(6)</f>
        <v>25484.597057253774</v>
      </c>
      <c r="F81" s="63">
        <f>Dimensionador!$C$7*Premissas!$C$13*(Premissas!$C$75+0.25*(Premissas!$C$76-Premissas!$C$75))*Premissas!$C$20*(1+Premissas!$C$26)^(6)</f>
        <v>6901.3150359789188</v>
      </c>
      <c r="G81" s="64">
        <f>Dimensionador!$C$7*Premissas!$C$25*(1+Premissas!$C$27)^(6)/12</f>
        <v>2189.0958769698332</v>
      </c>
      <c r="H81" s="65">
        <f>Premissas!$C$55*(1-Premissas!$C$32)^(6)</f>
        <v>51854.280968725448</v>
      </c>
      <c r="I81" s="65">
        <f>MIN(H81,Dimensionador!$C$7*Premissas!$C$13*(Premissas!$C$75+0.25*(Premissas!$C$76-Premissas!$C$75)))</f>
        <v>6947.7046869068645</v>
      </c>
      <c r="J81" s="65">
        <f t="shared" si="6"/>
        <v>44906.576281818583</v>
      </c>
      <c r="K81" s="63">
        <f>Premissas!$C$35*(1+Premissas!$C$27)^(6)/12</f>
        <v>1181.6142517734895</v>
      </c>
      <c r="L81" s="63">
        <f>E81-F81+(I81+J81)*Premissas!$C$20*(1+Premissas!$C$26)^(6)</f>
        <v>70091.333249149058</v>
      </c>
      <c r="M81" s="63">
        <f t="shared" si="7"/>
        <v>66720.62312040574</v>
      </c>
      <c r="N81" s="63">
        <f t="shared" si="8"/>
        <v>1807987.4622004544</v>
      </c>
      <c r="O81" s="63">
        <f t="shared" si="9"/>
        <v>4095487.462200454</v>
      </c>
      <c r="P81" s="66" t="str">
        <f t="shared" si="10"/>
        <v/>
      </c>
      <c r="Q81" s="67">
        <f t="shared" si="5"/>
        <v>6947.7046869068645</v>
      </c>
    </row>
    <row r="82" spans="1:17" ht="12.75" customHeight="1" x14ac:dyDescent="0.35">
      <c r="A82" s="68">
        <v>7</v>
      </c>
      <c r="B82" s="60" t="s">
        <v>115</v>
      </c>
      <c r="C82" s="61">
        <f>Premissas!$C$75+0.3333333333*(Premissas!$C$76-Premissas!$C$75)</f>
        <v>0.86400000000059995</v>
      </c>
      <c r="D82" s="62">
        <f>(1+Premissas!$C$26)^(6)</f>
        <v>1.5868743229440005</v>
      </c>
      <c r="E82" s="63">
        <f>Dimensionador!$C$22*(Premissas!$C$75+0.3333333333*(Premissas!$C$76-Premissas!$C$75))*Premissas!$C$21*(1+Premissas!$C$26)^(6)</f>
        <v>25440.429644693882</v>
      </c>
      <c r="F82" s="63">
        <f>Dimensionador!$C$7*Premissas!$C$13*(Premissas!$C$75+0.3333333333*(Premissas!$C$76-Premissas!$C$75))*Premissas!$C$20*(1+Premissas!$C$26)^(6)</f>
        <v>6889.3543513459581</v>
      </c>
      <c r="G82" s="64">
        <f>Dimensionador!$C$7*Premissas!$C$25*(1+Premissas!$C$27)^(6)/12</f>
        <v>2189.0958769698332</v>
      </c>
      <c r="H82" s="65">
        <f>Premissas!$C$56*(1-Premissas!$C$32)^(6)</f>
        <v>53582.757001016296</v>
      </c>
      <c r="I82" s="65">
        <f>MIN(H82,Dimensionador!$C$7*Premissas!$C$13*(Premissas!$C$75+0.3333333333*(Premissas!$C$76-Premissas!$C$75)))</f>
        <v>6935.6636042653945</v>
      </c>
      <c r="J82" s="65">
        <f t="shared" si="6"/>
        <v>46647.093396750905</v>
      </c>
      <c r="K82" s="63">
        <f>Premissas!$C$35*(1+Premissas!$C$27)^(6)/12</f>
        <v>1181.6142517734895</v>
      </c>
      <c r="L82" s="63">
        <f>E82-F82+(I82+J82)*Premissas!$C$20*(1+Premissas!$C$26)^(6)</f>
        <v>71776.06156215127</v>
      </c>
      <c r="M82" s="63">
        <f t="shared" si="7"/>
        <v>68405.351433407952</v>
      </c>
      <c r="N82" s="63">
        <f t="shared" si="8"/>
        <v>1876392.8136338624</v>
      </c>
      <c r="O82" s="63">
        <f t="shared" si="9"/>
        <v>4163892.813633862</v>
      </c>
      <c r="P82" s="66" t="str">
        <f t="shared" si="10"/>
        <v/>
      </c>
      <c r="Q82" s="67">
        <f t="shared" si="5"/>
        <v>6935.6636042653945</v>
      </c>
    </row>
    <row r="83" spans="1:17" ht="12.75" customHeight="1" x14ac:dyDescent="0.35">
      <c r="A83" s="68">
        <v>7</v>
      </c>
      <c r="B83" s="60" t="s">
        <v>116</v>
      </c>
      <c r="C83" s="61">
        <f>Premissas!$C$75+0.4166666667*(Premissas!$C$76-Premissas!$C$75)</f>
        <v>0.86249999999939997</v>
      </c>
      <c r="D83" s="62">
        <f>(1+Premissas!$C$26)^(6)</f>
        <v>1.5868743229440005</v>
      </c>
      <c r="E83" s="63">
        <f>Dimensionador!$C$22*(Premissas!$C$75+0.4166666667*(Premissas!$C$76-Premissas!$C$75))*Premissas!$C$21*(1+Premissas!$C$26)^(6)</f>
        <v>25396.262232080986</v>
      </c>
      <c r="F83" s="63">
        <f>Dimensionador!$C$7*Premissas!$C$13*(Premissas!$C$75+0.4166666667*(Premissas!$C$76-Premissas!$C$75))*Premissas!$C$20*(1+Premissas!$C$26)^(6)</f>
        <v>6877.3936666986438</v>
      </c>
      <c r="G83" s="64">
        <f>Dimensionador!$C$7*Premissas!$C$25*(1+Premissas!$C$27)^(6)/12</f>
        <v>2189.0958769698332</v>
      </c>
      <c r="H83" s="65">
        <f>Premissas!$C$57*(1-Premissas!$C$32)^(6)</f>
        <v>51854.280968725448</v>
      </c>
      <c r="I83" s="65">
        <f>MIN(H83,Dimensionador!$C$7*Premissas!$C$13*(Premissas!$C$75+0.4166666667*(Premissas!$C$76-Premissas!$C$75)))</f>
        <v>6923.6225216094763</v>
      </c>
      <c r="J83" s="65">
        <f t="shared" si="6"/>
        <v>44930.658447115973</v>
      </c>
      <c r="K83" s="63">
        <f>Premissas!$C$35*(1+Premissas!$C$27)^(6)/12</f>
        <v>1181.6142517734895</v>
      </c>
      <c r="L83" s="63">
        <f>E83-F83+(I83+J83)*Premissas!$C$20*(1+Premissas!$C$26)^(6)</f>
        <v>70026.919793256529</v>
      </c>
      <c r="M83" s="63">
        <f t="shared" si="7"/>
        <v>66656.209664513211</v>
      </c>
      <c r="N83" s="63">
        <f t="shared" si="8"/>
        <v>1943049.0232983755</v>
      </c>
      <c r="O83" s="63">
        <f t="shared" si="9"/>
        <v>4230549.0232983753</v>
      </c>
      <c r="P83" s="66" t="str">
        <f t="shared" si="10"/>
        <v/>
      </c>
      <c r="Q83" s="67">
        <f t="shared" si="5"/>
        <v>6923.6225216094763</v>
      </c>
    </row>
    <row r="84" spans="1:17" ht="12.75" customHeight="1" x14ac:dyDescent="0.35">
      <c r="A84" s="68">
        <v>7</v>
      </c>
      <c r="B84" s="60" t="s">
        <v>117</v>
      </c>
      <c r="C84" s="61">
        <f>Premissas!$C$75+0.5*(Premissas!$C$76-Premissas!$C$75)</f>
        <v>0.86099999999999999</v>
      </c>
      <c r="D84" s="62">
        <f>(1+Premissas!$C$26)^(6)</f>
        <v>1.5868743229440005</v>
      </c>
      <c r="E84" s="63">
        <f>Dimensionador!$C$22*(Premissas!$C$75+0.5*(Premissas!$C$76-Premissas!$C$75))*Premissas!$C$21*(1+Premissas!$C$26)^(6)</f>
        <v>25352.094819521088</v>
      </c>
      <c r="F84" s="63">
        <f>Dimensionador!$C$7*Premissas!$C$13*(Premissas!$C$75+0.5*(Premissas!$C$76-Premissas!$C$75))*Premissas!$C$20*(1+Premissas!$C$26)^(6)</f>
        <v>6865.4329820656831</v>
      </c>
      <c r="G84" s="64">
        <f>Dimensionador!$C$7*Premissas!$C$25*(1+Premissas!$C$27)^(6)/12</f>
        <v>2189.0958769698332</v>
      </c>
      <c r="H84" s="65">
        <f>Premissas!$C$58*(1-Premissas!$C$32)^(6)</f>
        <v>53582.757001016296</v>
      </c>
      <c r="I84" s="65">
        <f>MIN(H84,Dimensionador!$C$7*Premissas!$C$13*(Premissas!$C$75+0.5*(Premissas!$C$76-Premissas!$C$75)))</f>
        <v>6911.5814389680072</v>
      </c>
      <c r="J84" s="65">
        <f t="shared" si="6"/>
        <v>46671.175562048287</v>
      </c>
      <c r="K84" s="63">
        <f>Premissas!$C$35*(1+Premissas!$C$27)^(6)/12</f>
        <v>1181.6142517734895</v>
      </c>
      <c r="L84" s="63">
        <f>E84-F84+(I84+J84)*Premissas!$C$20*(1+Premissas!$C$26)^(6)</f>
        <v>71711.648106258741</v>
      </c>
      <c r="M84" s="63">
        <f t="shared" si="7"/>
        <v>68340.937977515423</v>
      </c>
      <c r="N84" s="63">
        <f t="shared" si="8"/>
        <v>2011389.9612758909</v>
      </c>
      <c r="O84" s="63">
        <f t="shared" si="9"/>
        <v>4298889.9612758905</v>
      </c>
      <c r="P84" s="66" t="str">
        <f t="shared" si="10"/>
        <v/>
      </c>
      <c r="Q84" s="67">
        <f t="shared" si="5"/>
        <v>6911.5814389680072</v>
      </c>
    </row>
    <row r="85" spans="1:17" ht="12.75" customHeight="1" x14ac:dyDescent="0.35">
      <c r="A85" s="68">
        <v>7</v>
      </c>
      <c r="B85" s="60" t="s">
        <v>118</v>
      </c>
      <c r="C85" s="61">
        <f>Premissas!$C$75+0.5833333333*(Premissas!$C$76-Premissas!$C$75)</f>
        <v>0.85950000000060001</v>
      </c>
      <c r="D85" s="62">
        <f>(1+Premissas!$C$26)^(6)</f>
        <v>1.5868743229440005</v>
      </c>
      <c r="E85" s="63">
        <f>Dimensionador!$C$22*(Premissas!$C$75+0.5833333333*(Premissas!$C$76-Premissas!$C$75))*Premissas!$C$21*(1+Premissas!$C$26)^(6)</f>
        <v>25307.927406961193</v>
      </c>
      <c r="F85" s="63">
        <f>Dimensionador!$C$7*Premissas!$C$13*(Premissas!$C$75+0.5833333333*(Premissas!$C$76-Premissas!$C$75))*Premissas!$C$20*(1+Premissas!$C$26)^(6)</f>
        <v>6853.4722974327224</v>
      </c>
      <c r="G85" s="64">
        <f>Dimensionador!$C$7*Premissas!$C$25*(1+Premissas!$C$27)^(6)/12</f>
        <v>2189.0958769698332</v>
      </c>
      <c r="H85" s="65">
        <f>Premissas!$C$59*(1-Premissas!$C$32)^(6)</f>
        <v>53582.757001016296</v>
      </c>
      <c r="I85" s="65">
        <f>MIN(H85,Dimensionador!$C$7*Premissas!$C$13*(Premissas!$C$75+0.5833333333*(Premissas!$C$76-Premissas!$C$75)))</f>
        <v>6899.5403563265381</v>
      </c>
      <c r="J85" s="65">
        <f t="shared" si="6"/>
        <v>46683.216644689761</v>
      </c>
      <c r="K85" s="63">
        <f>Premissas!$C$35*(1+Premissas!$C$27)^(6)/12</f>
        <v>1181.6142517734895</v>
      </c>
      <c r="L85" s="63">
        <f>E85-F85+(I85+J85)*Premissas!$C$20*(1+Premissas!$C$26)^(6)</f>
        <v>71679.441378331801</v>
      </c>
      <c r="M85" s="63">
        <f t="shared" si="7"/>
        <v>68308.731249588483</v>
      </c>
      <c r="N85" s="63">
        <f t="shared" si="8"/>
        <v>2079698.6925254795</v>
      </c>
      <c r="O85" s="63">
        <f t="shared" si="9"/>
        <v>4367198.692525479</v>
      </c>
      <c r="P85" s="66" t="str">
        <f t="shared" si="10"/>
        <v/>
      </c>
      <c r="Q85" s="67">
        <f t="shared" si="5"/>
        <v>6899.5403563265381</v>
      </c>
    </row>
    <row r="86" spans="1:17" ht="12.75" customHeight="1" x14ac:dyDescent="0.35">
      <c r="A86" s="68">
        <v>7</v>
      </c>
      <c r="B86" s="60" t="s">
        <v>119</v>
      </c>
      <c r="C86" s="61">
        <f>Premissas!$C$75+0.6666666667*(Premissas!$C$76-Premissas!$C$75)</f>
        <v>0.85799999999940002</v>
      </c>
      <c r="D86" s="62">
        <f>(1+Premissas!$C$26)^(6)</f>
        <v>1.5868743229440005</v>
      </c>
      <c r="E86" s="63">
        <f>Dimensionador!$C$22*(Premissas!$C$75+0.6666666667*(Premissas!$C$76-Premissas!$C$75))*Premissas!$C$21*(1+Premissas!$C$26)^(6)</f>
        <v>25263.759994348296</v>
      </c>
      <c r="F86" s="63">
        <f>Dimensionador!$C$7*Premissas!$C$13*(Premissas!$C$75+0.6666666667*(Premissas!$C$76-Premissas!$C$75))*Premissas!$C$20*(1+Premissas!$C$26)^(6)</f>
        <v>6841.5116127854099</v>
      </c>
      <c r="G86" s="64">
        <f>Dimensionador!$C$7*Premissas!$C$25*(1+Premissas!$C$27)^(6)/12</f>
        <v>2189.0958769698332</v>
      </c>
      <c r="H86" s="65">
        <f>Premissas!$C$60*(1-Premissas!$C$32)^(6)</f>
        <v>51854.280968725448</v>
      </c>
      <c r="I86" s="65">
        <f>MIN(H86,Dimensionador!$C$7*Premissas!$C$13*(Premissas!$C$75+0.6666666667*(Premissas!$C$76-Premissas!$C$75)))</f>
        <v>6887.4992736706199</v>
      </c>
      <c r="J86" s="65">
        <f t="shared" si="6"/>
        <v>44966.781695054829</v>
      </c>
      <c r="K86" s="63">
        <f>Premissas!$C$35*(1+Premissas!$C$27)^(6)/12</f>
        <v>1181.6142517734895</v>
      </c>
      <c r="L86" s="63">
        <f>E86-F86+(I86+J86)*Premissas!$C$20*(1+Premissas!$C$26)^(6)</f>
        <v>69930.29960943709</v>
      </c>
      <c r="M86" s="63">
        <f t="shared" si="7"/>
        <v>66559.589480693772</v>
      </c>
      <c r="N86" s="63">
        <f t="shared" si="8"/>
        <v>2146258.2820061734</v>
      </c>
      <c r="O86" s="63">
        <f t="shared" si="9"/>
        <v>4433758.2820061725</v>
      </c>
      <c r="P86" s="66" t="str">
        <f t="shared" si="10"/>
        <v/>
      </c>
      <c r="Q86" s="67">
        <f t="shared" si="5"/>
        <v>6887.4992736706199</v>
      </c>
    </row>
    <row r="87" spans="1:17" ht="12.75" customHeight="1" x14ac:dyDescent="0.35">
      <c r="A87" s="68">
        <v>7</v>
      </c>
      <c r="B87" s="60" t="s">
        <v>120</v>
      </c>
      <c r="C87" s="61">
        <f>Premissas!$C$75+0.75*(Premissas!$C$76-Premissas!$C$75)</f>
        <v>0.85650000000000004</v>
      </c>
      <c r="D87" s="62">
        <f>(1+Premissas!$C$26)^(6)</f>
        <v>1.5868743229440005</v>
      </c>
      <c r="E87" s="63">
        <f>Dimensionador!$C$22*(Premissas!$C$75+0.75*(Premissas!$C$76-Premissas!$C$75))*Premissas!$C$21*(1+Premissas!$C$26)^(6)</f>
        <v>25219.592581788402</v>
      </c>
      <c r="F87" s="63">
        <f>Dimensionador!$C$7*Premissas!$C$13*(Premissas!$C$75+0.75*(Premissas!$C$76-Premissas!$C$75))*Premissas!$C$20*(1+Premissas!$C$26)^(6)</f>
        <v>6829.5509281524492</v>
      </c>
      <c r="G87" s="64">
        <f>Dimensionador!$C$7*Premissas!$C$25*(1+Premissas!$C$27)^(6)/12</f>
        <v>2189.0958769698332</v>
      </c>
      <c r="H87" s="65">
        <f>Premissas!$C$61*(1-Premissas!$C$32)^(6)</f>
        <v>53582.757001016296</v>
      </c>
      <c r="I87" s="65">
        <f>MIN(H87,Dimensionador!$C$7*Premissas!$C$13*(Premissas!$C$75+0.75*(Premissas!$C$76-Premissas!$C$75)))</f>
        <v>6875.4581910291508</v>
      </c>
      <c r="J87" s="65">
        <f t="shared" si="6"/>
        <v>46707.298809987144</v>
      </c>
      <c r="K87" s="63">
        <f>Premissas!$C$35*(1+Premissas!$C$27)^(6)/12</f>
        <v>1181.6142517734895</v>
      </c>
      <c r="L87" s="63">
        <f>E87-F87+(I87+J87)*Premissas!$C$20*(1+Premissas!$C$26)^(6)</f>
        <v>71615.027922439287</v>
      </c>
      <c r="M87" s="63">
        <f t="shared" si="7"/>
        <v>68244.317793695969</v>
      </c>
      <c r="N87" s="63">
        <f t="shared" si="8"/>
        <v>2214502.5997998696</v>
      </c>
      <c r="O87" s="63">
        <f t="shared" si="9"/>
        <v>4502002.5997998687</v>
      </c>
      <c r="P87" s="66" t="str">
        <f t="shared" si="10"/>
        <v/>
      </c>
      <c r="Q87" s="67">
        <f t="shared" si="5"/>
        <v>6875.4581910291508</v>
      </c>
    </row>
    <row r="88" spans="1:17" ht="12.75" customHeight="1" x14ac:dyDescent="0.35">
      <c r="A88" s="68">
        <v>7</v>
      </c>
      <c r="B88" s="60" t="s">
        <v>121</v>
      </c>
      <c r="C88" s="61">
        <f>Premissas!$C$75+0.8333333333*(Premissas!$C$76-Premissas!$C$75)</f>
        <v>0.85500000000059995</v>
      </c>
      <c r="D88" s="62">
        <f>(1+Premissas!$C$26)^(6)</f>
        <v>1.5868743229440005</v>
      </c>
      <c r="E88" s="63">
        <f>Dimensionador!$C$22*(Premissas!$C$75+0.8333333333*(Premissas!$C$76-Premissas!$C$75))*Premissas!$C$21*(1+Premissas!$C$26)^(6)</f>
        <v>25175.425169228503</v>
      </c>
      <c r="F88" s="63">
        <f>Dimensionador!$C$7*Premissas!$C$13*(Premissas!$C$75+0.8333333333*(Premissas!$C$76-Premissas!$C$75))*Premissas!$C$20*(1+Premissas!$C$26)^(6)</f>
        <v>6817.5902435194876</v>
      </c>
      <c r="G88" s="64">
        <f>Dimensionador!$C$7*Premissas!$C$25*(1+Premissas!$C$27)^(6)/12</f>
        <v>2189.0958769698332</v>
      </c>
      <c r="H88" s="65">
        <f>Premissas!$C$62*(1-Premissas!$C$32)^(6)</f>
        <v>51854.280968725448</v>
      </c>
      <c r="I88" s="65">
        <f>MIN(H88,Dimensionador!$C$7*Premissas!$C$13*(Premissas!$C$75+0.8333333333*(Premissas!$C$76-Premissas!$C$75)))</f>
        <v>6863.4171083876809</v>
      </c>
      <c r="J88" s="65">
        <f t="shared" si="6"/>
        <v>44990.863860337769</v>
      </c>
      <c r="K88" s="63">
        <f>Premissas!$C$35*(1+Premissas!$C$27)^(6)/12</f>
        <v>1181.6142517734895</v>
      </c>
      <c r="L88" s="63">
        <f>E88-F88+(I88+J88)*Premissas!$C$20*(1+Premissas!$C$26)^(6)</f>
        <v>69865.886153583211</v>
      </c>
      <c r="M88" s="63">
        <f t="shared" si="7"/>
        <v>66495.176024839893</v>
      </c>
      <c r="N88" s="63">
        <f t="shared" si="8"/>
        <v>2280997.7758247093</v>
      </c>
      <c r="O88" s="63">
        <f t="shared" si="9"/>
        <v>4568497.7758247089</v>
      </c>
      <c r="P88" s="66" t="str">
        <f t="shared" si="10"/>
        <v/>
      </c>
      <c r="Q88" s="67">
        <f t="shared" si="5"/>
        <v>6863.4171083876809</v>
      </c>
    </row>
    <row r="89" spans="1:17" ht="12.75" customHeight="1" x14ac:dyDescent="0.35">
      <c r="A89" s="69">
        <v>7</v>
      </c>
      <c r="B89" s="70" t="s">
        <v>122</v>
      </c>
      <c r="C89" s="71">
        <f>Premissas!$C$75+0.9166666667*(Premissas!$C$76-Premissas!$C$75)</f>
        <v>0.85349999999939996</v>
      </c>
      <c r="D89" s="72">
        <f>(1+Premissas!$C$26)^(6)</f>
        <v>1.5868743229440005</v>
      </c>
      <c r="E89" s="73">
        <f>Dimensionador!$C$22*(Premissas!$C$75+0.9166666667*(Premissas!$C$76-Premissas!$C$75))*Premissas!$C$21*(1+Premissas!$C$26)^(6)</f>
        <v>25131.257756615607</v>
      </c>
      <c r="F89" s="73">
        <f>Dimensionador!$C$7*Premissas!$C$13*(Premissas!$C$75+0.9166666667*(Premissas!$C$76-Premissas!$C$75))*Premissas!$C$20*(1+Premissas!$C$26)^(6)</f>
        <v>6805.6295588721732</v>
      </c>
      <c r="G89" s="74">
        <f>Dimensionador!$C$7*Premissas!$C$25*(1+Premissas!$C$27)^(6)/12</f>
        <v>2189.0958769698332</v>
      </c>
      <c r="H89" s="75">
        <f>Premissas!$C$63*(1-Premissas!$C$32)^(6)</f>
        <v>53582.757001016296</v>
      </c>
      <c r="I89" s="76">
        <f>MIN(H89,Dimensionador!$C$7*Premissas!$C$13*(Premissas!$C$75+0.9166666667*(Premissas!$C$76-Premissas!$C$75)))</f>
        <v>6851.3760257317617</v>
      </c>
      <c r="J89" s="75">
        <f t="shared" si="6"/>
        <v>46731.380975284534</v>
      </c>
      <c r="K89" s="77">
        <f>Premissas!$C$35*(1+Premissas!$C$27)^(6)/12</f>
        <v>1181.6142517734895</v>
      </c>
      <c r="L89" s="73">
        <f>E89-F89+(I89+J89)*Premissas!$C$20*(1+Premissas!$C$26)^(6)</f>
        <v>71550.614466546773</v>
      </c>
      <c r="M89" s="77">
        <f t="shared" si="7"/>
        <v>68179.904337803455</v>
      </c>
      <c r="N89" s="77">
        <f t="shared" si="8"/>
        <v>2349177.6801625127</v>
      </c>
      <c r="O89" s="77">
        <f t="shared" si="9"/>
        <v>4636677.6801625127</v>
      </c>
      <c r="P89" s="78" t="str">
        <f t="shared" si="10"/>
        <v/>
      </c>
      <c r="Q89" s="67">
        <f t="shared" si="5"/>
        <v>6851.3760257317617</v>
      </c>
    </row>
    <row r="90" spans="1:17" ht="12.75" customHeight="1" x14ac:dyDescent="0.35">
      <c r="A90" s="79">
        <v>8</v>
      </c>
      <c r="B90" s="80" t="s">
        <v>110</v>
      </c>
      <c r="C90" s="81">
        <f>Premissas!$C$76+0*(Premissas!$C$77-Premissas!$C$76)</f>
        <v>0.85199999999999998</v>
      </c>
      <c r="D90" s="82">
        <f>(1+Premissas!$C$26)^(7)</f>
        <v>1.7138242687795207</v>
      </c>
      <c r="E90" s="83">
        <f>Dimensionador!$C$22*(Premissas!$C$76+0*(Premissas!$C$77-Premissas!$C$76))*Premissas!$C$21*(1+Premissas!$C$26)^(7)</f>
        <v>27094.057571580171</v>
      </c>
      <c r="F90" s="83">
        <f>Dimensionador!$C$7*Premissas!$C$13*(Premissas!$C$76+0*(Premissas!$C$77-Premissas!$C$76))*Premissas!$C$20*(1+Premissas!$C$26)^(7)</f>
        <v>7337.1623841783503</v>
      </c>
      <c r="G90" s="84">
        <f>Dimensionador!$C$7*Premissas!$C$25*(1+Premissas!$C$27)^(7)/12</f>
        <v>2254.7687532789282</v>
      </c>
      <c r="H90" s="85">
        <f>Premissas!$C$52*(1-Premissas!$C$32)^(7)</f>
        <v>53314.843216011213</v>
      </c>
      <c r="I90" s="85">
        <f>MIN(H90,Dimensionador!$C$7*Premissas!$C$13*(Premissas!$C$76+0*(Premissas!$C$77-Premissas!$C$76)))</f>
        <v>6839.3349430902927</v>
      </c>
      <c r="J90" s="85">
        <f t="shared" si="6"/>
        <v>46475.508272920924</v>
      </c>
      <c r="K90" s="83">
        <f>Premissas!$C$35*(1+Premissas!$C$27)^(7)/12</f>
        <v>1217.0626793266943</v>
      </c>
      <c r="L90" s="83">
        <f>E90-F90+(I90+J90)*Premissas!$C$20*(1+Premissas!$C$26)^(7)</f>
        <v>76952.465431857883</v>
      </c>
      <c r="M90" s="83">
        <f t="shared" si="7"/>
        <v>73480.633999252255</v>
      </c>
      <c r="N90" s="83">
        <f t="shared" si="8"/>
        <v>2422658.3141617649</v>
      </c>
      <c r="O90" s="83">
        <f t="shared" si="9"/>
        <v>4710158.3141617654</v>
      </c>
      <c r="P90" s="86" t="str">
        <f t="shared" si="10"/>
        <v/>
      </c>
      <c r="Q90" s="67">
        <f t="shared" ref="Q90:Q153" si="11">I90</f>
        <v>6839.3349430902927</v>
      </c>
    </row>
    <row r="91" spans="1:17" ht="12.75" customHeight="1" x14ac:dyDescent="0.35">
      <c r="A91" s="87">
        <v>8</v>
      </c>
      <c r="B91" s="80" t="s">
        <v>112</v>
      </c>
      <c r="C91" s="81">
        <f>Premissas!$C$76+0.0833333333*(Premissas!$C$77-Premissas!$C$76)</f>
        <v>0.8505000000006</v>
      </c>
      <c r="D91" s="82">
        <f>(1+Premissas!$C$26)^(7)</f>
        <v>1.7138242687795207</v>
      </c>
      <c r="E91" s="83">
        <f>Dimensionador!$C$22*(Premissas!$C$76+0.0833333333*(Premissas!$C$77-Premissas!$C$76))*Premissas!$C$21*(1+Premissas!$C$26)^(7)</f>
        <v>27046.35676601548</v>
      </c>
      <c r="F91" s="83">
        <f>Dimensionador!$C$7*Premissas!$C$13*(Premissas!$C$76+0.0833333333*(Premissas!$C$77-Premissas!$C$76))*Premissas!$C$20*(1+Premissas!$C$26)^(7)</f>
        <v>7324.2448447747529</v>
      </c>
      <c r="G91" s="84">
        <f>Dimensionador!$C$7*Premissas!$C$25*(1+Premissas!$C$27)^(7)/12</f>
        <v>2254.7687532789282</v>
      </c>
      <c r="H91" s="85">
        <f>Premissas!$C$53*(1-Premissas!$C$32)^(7)</f>
        <v>48155.34225962303</v>
      </c>
      <c r="I91" s="85">
        <f>MIN(H91,Dimensionador!$C$7*Premissas!$C$13*(Premissas!$C$76+0.0833333333*(Premissas!$C$77-Premissas!$C$76)))</f>
        <v>6827.2938604488236</v>
      </c>
      <c r="J91" s="85">
        <f t="shared" si="6"/>
        <v>41328.048399174208</v>
      </c>
      <c r="K91" s="83">
        <f>Premissas!$C$35*(1+Premissas!$C$27)^(7)/12</f>
        <v>1217.0626793266943</v>
      </c>
      <c r="L91" s="83">
        <f>E91-F91+(I91+J91)*Premissas!$C$20*(1+Premissas!$C$26)^(7)</f>
        <v>71382.626980749439</v>
      </c>
      <c r="M91" s="83">
        <f t="shared" si="7"/>
        <v>67910.795548143811</v>
      </c>
      <c r="N91" s="83">
        <f t="shared" si="8"/>
        <v>2490569.1097099087</v>
      </c>
      <c r="O91" s="83">
        <f t="shared" si="9"/>
        <v>4778069.1097099092</v>
      </c>
      <c r="P91" s="86" t="str">
        <f t="shared" si="10"/>
        <v/>
      </c>
      <c r="Q91" s="67">
        <f t="shared" si="11"/>
        <v>6827.2938604488236</v>
      </c>
    </row>
    <row r="92" spans="1:17" ht="12.75" customHeight="1" x14ac:dyDescent="0.35">
      <c r="A92" s="87">
        <v>8</v>
      </c>
      <c r="B92" s="80" t="s">
        <v>113</v>
      </c>
      <c r="C92" s="81">
        <f>Premissas!$C$76+0.1666666667*(Premissas!$C$77-Premissas!$C$76)</f>
        <v>0.84899999999940001</v>
      </c>
      <c r="D92" s="82">
        <f>(1+Premissas!$C$26)^(7)</f>
        <v>1.7138242687795207</v>
      </c>
      <c r="E92" s="83">
        <f>Dimensionador!$C$22*(Premissas!$C$76+0.1666666667*(Premissas!$C$77-Premissas!$C$76))*Premissas!$C$21*(1+Premissas!$C$26)^(7)</f>
        <v>26998.655960393553</v>
      </c>
      <c r="F92" s="83">
        <f>Dimensionador!$C$7*Premissas!$C$13*(Premissas!$C$76+0.1666666667*(Premissas!$C$77-Premissas!$C$76))*Premissas!$C$20*(1+Premissas!$C$26)^(7)</f>
        <v>7311.327305355655</v>
      </c>
      <c r="G92" s="84">
        <f>Dimensionador!$C$7*Premissas!$C$25*(1+Premissas!$C$27)^(7)/12</f>
        <v>2254.7687532789282</v>
      </c>
      <c r="H92" s="85">
        <f>Premissas!$C$54*(1-Premissas!$C$32)^(7)</f>
        <v>53314.843216011213</v>
      </c>
      <c r="I92" s="85">
        <f>MIN(H92,Dimensionador!$C$7*Premissas!$C$13*(Premissas!$C$76+0.1666666667*(Premissas!$C$77-Premissas!$C$76)))</f>
        <v>6815.2527777929054</v>
      </c>
      <c r="J92" s="85">
        <f t="shared" si="6"/>
        <v>46499.590438218307</v>
      </c>
      <c r="K92" s="83">
        <f>Premissas!$C$35*(1+Premissas!$C$27)^(7)/12</f>
        <v>1217.0626793266943</v>
      </c>
      <c r="L92" s="83">
        <f>E92-F92+(I92+J92)*Premissas!$C$20*(1+Premissas!$C$26)^(7)</f>
        <v>76882.898899493972</v>
      </c>
      <c r="M92" s="83">
        <f t="shared" si="7"/>
        <v>73411.067466888344</v>
      </c>
      <c r="N92" s="83">
        <f t="shared" si="8"/>
        <v>2563980.1771767968</v>
      </c>
      <c r="O92" s="83">
        <f t="shared" si="9"/>
        <v>4851480.1771767978</v>
      </c>
      <c r="P92" s="86" t="str">
        <f t="shared" si="10"/>
        <v/>
      </c>
      <c r="Q92" s="67">
        <f t="shared" si="11"/>
        <v>6815.2527777929054</v>
      </c>
    </row>
    <row r="93" spans="1:17" ht="12.75" customHeight="1" x14ac:dyDescent="0.35">
      <c r="A93" s="87">
        <v>8</v>
      </c>
      <c r="B93" s="80" t="s">
        <v>114</v>
      </c>
      <c r="C93" s="81">
        <f>Premissas!$C$76+0.25*(Premissas!$C$77-Premissas!$C$76)</f>
        <v>0.84749999999999992</v>
      </c>
      <c r="D93" s="82">
        <f>(1+Premissas!$C$26)^(7)</f>
        <v>1.7138242687795207</v>
      </c>
      <c r="E93" s="83">
        <f>Dimensionador!$C$22*(Premissas!$C$76+0.25*(Premissas!$C$77-Premissas!$C$76))*Premissas!$C$21*(1+Premissas!$C$26)^(7)</f>
        <v>26950.955154828862</v>
      </c>
      <c r="F93" s="83">
        <f>Dimensionador!$C$7*Premissas!$C$13*(Premissas!$C$76+0.25*(Premissas!$C$77-Premissas!$C$76))*Premissas!$C$20*(1+Premissas!$C$26)^(7)</f>
        <v>7298.4097659520557</v>
      </c>
      <c r="G93" s="84">
        <f>Dimensionador!$C$7*Premissas!$C$25*(1+Premissas!$C$27)^(7)/12</f>
        <v>2254.7687532789282</v>
      </c>
      <c r="H93" s="85">
        <f>Premissas!$C$55*(1-Premissas!$C$32)^(7)</f>
        <v>51595.009563881817</v>
      </c>
      <c r="I93" s="85">
        <f>MIN(H93,Dimensionador!$C$7*Premissas!$C$13*(Premissas!$C$76+0.25*(Premissas!$C$77-Premissas!$C$76)))</f>
        <v>6803.2116951514354</v>
      </c>
      <c r="J93" s="85">
        <f t="shared" si="6"/>
        <v>44791.797868730384</v>
      </c>
      <c r="K93" s="83">
        <f>Premissas!$C$35*(1+Premissas!$C$27)^(7)/12</f>
        <v>1217.0626793266943</v>
      </c>
      <c r="L93" s="83">
        <f>E93-F93+(I93+J93)*Premissas!$C$20*(1+Premissas!$C$26)^(7)</f>
        <v>75003.097238350412</v>
      </c>
      <c r="M93" s="83">
        <f t="shared" si="7"/>
        <v>71531.265805744784</v>
      </c>
      <c r="N93" s="83">
        <f t="shared" si="8"/>
        <v>2635511.4429825414</v>
      </c>
      <c r="O93" s="83">
        <f t="shared" si="9"/>
        <v>4923011.4429825423</v>
      </c>
      <c r="P93" s="86" t="str">
        <f t="shared" si="10"/>
        <v/>
      </c>
      <c r="Q93" s="67">
        <f t="shared" si="11"/>
        <v>6803.2116951514354</v>
      </c>
    </row>
    <row r="94" spans="1:17" ht="12.75" customHeight="1" x14ac:dyDescent="0.35">
      <c r="A94" s="87">
        <v>8</v>
      </c>
      <c r="B94" s="80" t="s">
        <v>115</v>
      </c>
      <c r="C94" s="81">
        <f>Premissas!$C$76+0.3333333333*(Premissas!$C$77-Premissas!$C$76)</f>
        <v>0.84600000000059994</v>
      </c>
      <c r="D94" s="82">
        <f>(1+Premissas!$C$26)^(7)</f>
        <v>1.7138242687795207</v>
      </c>
      <c r="E94" s="83">
        <f>Dimensionador!$C$22*(Premissas!$C$76+0.3333333333*(Premissas!$C$77-Premissas!$C$76))*Premissas!$C$21*(1+Premissas!$C$26)^(7)</f>
        <v>26903.254349264174</v>
      </c>
      <c r="F94" s="83">
        <f>Dimensionador!$C$7*Premissas!$C$13*(Premissas!$C$76+0.3333333333*(Premissas!$C$77-Premissas!$C$76))*Premissas!$C$20*(1+Premissas!$C$26)^(7)</f>
        <v>7285.4922265484583</v>
      </c>
      <c r="G94" s="84">
        <f>Dimensionador!$C$7*Premissas!$C$25*(1+Premissas!$C$27)^(7)/12</f>
        <v>2254.7687532789282</v>
      </c>
      <c r="H94" s="85">
        <f>Premissas!$C$56*(1-Premissas!$C$32)^(7)</f>
        <v>53314.843216011213</v>
      </c>
      <c r="I94" s="85">
        <f>MIN(H94,Dimensionador!$C$7*Premissas!$C$13*(Premissas!$C$76+0.3333333333*(Premissas!$C$77-Premissas!$C$76)))</f>
        <v>6791.1706125099663</v>
      </c>
      <c r="J94" s="85">
        <f t="shared" si="6"/>
        <v>46523.672603501247</v>
      </c>
      <c r="K94" s="83">
        <f>Premissas!$C$35*(1+Premissas!$C$27)^(7)/12</f>
        <v>1217.0626793266943</v>
      </c>
      <c r="L94" s="83">
        <f>E94-F94+(I94+J94)*Premissas!$C$20*(1+Premissas!$C$26)^(7)</f>
        <v>76813.332367171781</v>
      </c>
      <c r="M94" s="83">
        <f t="shared" si="7"/>
        <v>73341.500934566153</v>
      </c>
      <c r="N94" s="83">
        <f t="shared" si="8"/>
        <v>2708852.9439171078</v>
      </c>
      <c r="O94" s="83">
        <f t="shared" si="9"/>
        <v>4996352.9439171087</v>
      </c>
      <c r="P94" s="86" t="str">
        <f t="shared" si="10"/>
        <v/>
      </c>
      <c r="Q94" s="67">
        <f t="shared" si="11"/>
        <v>6791.1706125099663</v>
      </c>
    </row>
    <row r="95" spans="1:17" ht="12.75" customHeight="1" x14ac:dyDescent="0.35">
      <c r="A95" s="87">
        <v>8</v>
      </c>
      <c r="B95" s="80" t="s">
        <v>116</v>
      </c>
      <c r="C95" s="81">
        <f>Premissas!$C$76+0.4166666667*(Premissas!$C$77-Premissas!$C$76)</f>
        <v>0.84449999999939995</v>
      </c>
      <c r="D95" s="82">
        <f>(1+Premissas!$C$26)^(7)</f>
        <v>1.7138242687795207</v>
      </c>
      <c r="E95" s="83">
        <f>Dimensionador!$C$22*(Premissas!$C$76+0.4166666667*(Premissas!$C$77-Premissas!$C$76))*Premissas!$C$21*(1+Premissas!$C$26)^(7)</f>
        <v>26855.553543642247</v>
      </c>
      <c r="F95" s="83">
        <f>Dimensionador!$C$7*Premissas!$C$13*(Premissas!$C$76+0.4166666667*(Premissas!$C$77-Premissas!$C$76))*Premissas!$C$20*(1+Premissas!$C$26)^(7)</f>
        <v>7272.5746871293595</v>
      </c>
      <c r="G95" s="84">
        <f>Dimensionador!$C$7*Premissas!$C$25*(1+Premissas!$C$27)^(7)/12</f>
        <v>2254.7687532789282</v>
      </c>
      <c r="H95" s="85">
        <f>Premissas!$C$57*(1-Premissas!$C$32)^(7)</f>
        <v>51595.009563881817</v>
      </c>
      <c r="I95" s="85">
        <f>MIN(H95,Dimensionador!$C$7*Premissas!$C$13*(Premissas!$C$76+0.4166666667*(Premissas!$C$77-Premissas!$C$76)))</f>
        <v>6779.1295298540472</v>
      </c>
      <c r="J95" s="85">
        <f t="shared" si="6"/>
        <v>44815.880034027767</v>
      </c>
      <c r="K95" s="83">
        <f>Premissas!$C$35*(1+Premissas!$C$27)^(7)/12</f>
        <v>1217.0626793266943</v>
      </c>
      <c r="L95" s="83">
        <f>E95-F95+(I95+J95)*Premissas!$C$20*(1+Premissas!$C$26)^(7)</f>
        <v>74933.530705986501</v>
      </c>
      <c r="M95" s="83">
        <f t="shared" si="7"/>
        <v>71461.699273380873</v>
      </c>
      <c r="N95" s="83">
        <f t="shared" si="8"/>
        <v>2780314.6431904887</v>
      </c>
      <c r="O95" s="83">
        <f t="shared" si="9"/>
        <v>5067814.6431904892</v>
      </c>
      <c r="P95" s="86" t="str">
        <f t="shared" si="10"/>
        <v/>
      </c>
      <c r="Q95" s="67">
        <f t="shared" si="11"/>
        <v>6779.1295298540472</v>
      </c>
    </row>
    <row r="96" spans="1:17" ht="12.75" customHeight="1" x14ac:dyDescent="0.35">
      <c r="A96" s="87">
        <v>8</v>
      </c>
      <c r="B96" s="80" t="s">
        <v>117</v>
      </c>
      <c r="C96" s="81">
        <f>Premissas!$C$76+0.5*(Premissas!$C$77-Premissas!$C$76)</f>
        <v>0.84299999999999997</v>
      </c>
      <c r="D96" s="82">
        <f>(1+Premissas!$C$26)^(7)</f>
        <v>1.7138242687795207</v>
      </c>
      <c r="E96" s="83">
        <f>Dimensionador!$C$22*(Premissas!$C$76+0.5*(Premissas!$C$77-Premissas!$C$76))*Premissas!$C$21*(1+Premissas!$C$26)^(7)</f>
        <v>26807.852738077563</v>
      </c>
      <c r="F96" s="83">
        <f>Dimensionador!$C$7*Premissas!$C$13*(Premissas!$C$76+0.5*(Premissas!$C$77-Premissas!$C$76))*Premissas!$C$20*(1+Premissas!$C$26)^(7)</f>
        <v>7259.6571477257621</v>
      </c>
      <c r="G96" s="84">
        <f>Dimensionador!$C$7*Premissas!$C$25*(1+Premissas!$C$27)^(7)/12</f>
        <v>2254.7687532789282</v>
      </c>
      <c r="H96" s="85">
        <f>Premissas!$C$58*(1-Premissas!$C$32)^(7)</f>
        <v>53314.843216011213</v>
      </c>
      <c r="I96" s="85">
        <f>MIN(H96,Dimensionador!$C$7*Premissas!$C$13*(Premissas!$C$76+0.5*(Premissas!$C$77-Premissas!$C$76)))</f>
        <v>6767.0884472125781</v>
      </c>
      <c r="J96" s="85">
        <f t="shared" si="6"/>
        <v>46547.754768798637</v>
      </c>
      <c r="K96" s="83">
        <f>Premissas!$C$35*(1+Premissas!$C$27)^(7)/12</f>
        <v>1217.0626793266943</v>
      </c>
      <c r="L96" s="83">
        <f>E96-F96+(I96+J96)*Premissas!$C$20*(1+Premissas!$C$26)^(7)</f>
        <v>76743.765834807869</v>
      </c>
      <c r="M96" s="83">
        <f t="shared" si="7"/>
        <v>73271.934402202241</v>
      </c>
      <c r="N96" s="83">
        <f t="shared" si="8"/>
        <v>2853586.5775926909</v>
      </c>
      <c r="O96" s="83">
        <f t="shared" si="9"/>
        <v>5141086.5775926914</v>
      </c>
      <c r="P96" s="86" t="str">
        <f t="shared" si="10"/>
        <v/>
      </c>
      <c r="Q96" s="67">
        <f t="shared" si="11"/>
        <v>6767.0884472125781</v>
      </c>
    </row>
    <row r="97" spans="1:17" ht="12.75" customHeight="1" x14ac:dyDescent="0.35">
      <c r="A97" s="87">
        <v>8</v>
      </c>
      <c r="B97" s="80" t="s">
        <v>118</v>
      </c>
      <c r="C97" s="81">
        <f>Premissas!$C$76+0.5833333333*(Premissas!$C$77-Premissas!$C$76)</f>
        <v>0.84150000000059999</v>
      </c>
      <c r="D97" s="82">
        <f>(1+Premissas!$C$26)^(7)</f>
        <v>1.7138242687795207</v>
      </c>
      <c r="E97" s="83">
        <f>Dimensionador!$C$22*(Premissas!$C$76+0.5833333333*(Premissas!$C$77-Premissas!$C$76))*Premissas!$C$21*(1+Premissas!$C$26)^(7)</f>
        <v>26760.151932512876</v>
      </c>
      <c r="F97" s="83">
        <f>Dimensionador!$C$7*Premissas!$C$13*(Premissas!$C$76+0.5833333333*(Premissas!$C$77-Premissas!$C$76))*Premissas!$C$20*(1+Premissas!$C$26)^(7)</f>
        <v>7246.7396083221638</v>
      </c>
      <c r="G97" s="84">
        <f>Dimensionador!$C$7*Premissas!$C$25*(1+Premissas!$C$27)^(7)/12</f>
        <v>2254.7687532789282</v>
      </c>
      <c r="H97" s="85">
        <f>Premissas!$C$59*(1-Premissas!$C$32)^(7)</f>
        <v>53314.843216011213</v>
      </c>
      <c r="I97" s="85">
        <f>MIN(H97,Dimensionador!$C$7*Premissas!$C$13*(Premissas!$C$76+0.5833333333*(Premissas!$C$77-Premissas!$C$76)))</f>
        <v>6755.047364571109</v>
      </c>
      <c r="J97" s="85">
        <f t="shared" si="6"/>
        <v>46559.795851440103</v>
      </c>
      <c r="K97" s="83">
        <f>Premissas!$C$35*(1+Premissas!$C$27)^(7)/12</f>
        <v>1217.0626793266943</v>
      </c>
      <c r="L97" s="83">
        <f>E97-F97+(I97+J97)*Premissas!$C$20*(1+Premissas!$C$26)^(7)</f>
        <v>76708.982568646781</v>
      </c>
      <c r="M97" s="83">
        <f t="shared" si="7"/>
        <v>73237.151136041153</v>
      </c>
      <c r="N97" s="83">
        <f t="shared" si="8"/>
        <v>2926823.7287287321</v>
      </c>
      <c r="O97" s="83">
        <f t="shared" si="9"/>
        <v>5214323.7287287321</v>
      </c>
      <c r="P97" s="86" t="str">
        <f t="shared" si="10"/>
        <v/>
      </c>
      <c r="Q97" s="67">
        <f t="shared" si="11"/>
        <v>6755.047364571109</v>
      </c>
    </row>
    <row r="98" spans="1:17" ht="12.75" customHeight="1" x14ac:dyDescent="0.35">
      <c r="A98" s="87">
        <v>8</v>
      </c>
      <c r="B98" s="80" t="s">
        <v>119</v>
      </c>
      <c r="C98" s="81">
        <f>Premissas!$C$76+0.6666666667*(Premissas!$C$77-Premissas!$C$76)</f>
        <v>0.8399999999994</v>
      </c>
      <c r="D98" s="82">
        <f>(1+Premissas!$C$26)^(7)</f>
        <v>1.7138242687795207</v>
      </c>
      <c r="E98" s="83">
        <f>Dimensionador!$C$22*(Premissas!$C$76+0.6666666667*(Premissas!$C$77-Premissas!$C$76))*Premissas!$C$21*(1+Premissas!$C$26)^(7)</f>
        <v>26712.451126890945</v>
      </c>
      <c r="F98" s="83">
        <f>Dimensionador!$C$7*Premissas!$C$13*(Premissas!$C$76+0.6666666667*(Premissas!$C$77-Premissas!$C$76))*Premissas!$C$20*(1+Premissas!$C$26)^(7)</f>
        <v>7233.8220689030668</v>
      </c>
      <c r="G98" s="84">
        <f>Dimensionador!$C$7*Premissas!$C$25*(1+Premissas!$C$27)^(7)/12</f>
        <v>2254.7687532789282</v>
      </c>
      <c r="H98" s="85">
        <f>Premissas!$C$60*(1-Premissas!$C$32)^(7)</f>
        <v>51595.009563881817</v>
      </c>
      <c r="I98" s="85">
        <f>MIN(H98,Dimensionador!$C$7*Premissas!$C$13*(Premissas!$C$76+0.6666666667*(Premissas!$C$77-Premissas!$C$76)))</f>
        <v>6743.0062819151908</v>
      </c>
      <c r="J98" s="85">
        <f t="shared" si="6"/>
        <v>44852.003281966623</v>
      </c>
      <c r="K98" s="83">
        <f>Premissas!$C$35*(1+Premissas!$C$27)^(7)/12</f>
        <v>1217.0626793266943</v>
      </c>
      <c r="L98" s="83">
        <f>E98-F98+(I98+J98)*Premissas!$C$20*(1+Premissas!$C$26)^(7)</f>
        <v>74829.180907461487</v>
      </c>
      <c r="M98" s="83">
        <f t="shared" si="7"/>
        <v>71357.349474855859</v>
      </c>
      <c r="N98" s="83">
        <f t="shared" si="8"/>
        <v>2998181.0782035878</v>
      </c>
      <c r="O98" s="83">
        <f t="shared" si="9"/>
        <v>5285681.0782035878</v>
      </c>
      <c r="P98" s="86" t="str">
        <f t="shared" si="10"/>
        <v/>
      </c>
      <c r="Q98" s="67">
        <f t="shared" si="11"/>
        <v>6743.0062819151908</v>
      </c>
    </row>
    <row r="99" spans="1:17" ht="12.75" customHeight="1" x14ac:dyDescent="0.35">
      <c r="A99" s="87">
        <v>8</v>
      </c>
      <c r="B99" s="80" t="s">
        <v>120</v>
      </c>
      <c r="C99" s="81">
        <f>Premissas!$C$76+0.75*(Premissas!$C$77-Premissas!$C$76)</f>
        <v>0.83850000000000002</v>
      </c>
      <c r="D99" s="82">
        <f>(1+Premissas!$C$26)^(7)</f>
        <v>1.7138242687795207</v>
      </c>
      <c r="E99" s="83">
        <f>Dimensionador!$C$22*(Premissas!$C$76+0.75*(Premissas!$C$77-Premissas!$C$76))*Premissas!$C$21*(1+Premissas!$C$26)^(7)</f>
        <v>26664.750321326261</v>
      </c>
      <c r="F99" s="83">
        <f>Dimensionador!$C$7*Premissas!$C$13*(Premissas!$C$76+0.75*(Premissas!$C$77-Premissas!$C$76))*Premissas!$C$20*(1+Premissas!$C$26)^(7)</f>
        <v>7220.9045294994694</v>
      </c>
      <c r="G99" s="84">
        <f>Dimensionador!$C$7*Premissas!$C$25*(1+Premissas!$C$27)^(7)/12</f>
        <v>2254.7687532789282</v>
      </c>
      <c r="H99" s="85">
        <f>Premissas!$C$61*(1-Premissas!$C$32)^(7)</f>
        <v>53314.843216011213</v>
      </c>
      <c r="I99" s="85">
        <f>MIN(H99,Dimensionador!$C$7*Premissas!$C$13*(Premissas!$C$76+0.75*(Premissas!$C$77-Premissas!$C$76)))</f>
        <v>6730.9651992737217</v>
      </c>
      <c r="J99" s="85">
        <f t="shared" si="6"/>
        <v>46583.878016737493</v>
      </c>
      <c r="K99" s="83">
        <f>Premissas!$C$35*(1+Premissas!$C$27)^(7)/12</f>
        <v>1217.0626793266943</v>
      </c>
      <c r="L99" s="83">
        <f>E99-F99+(I99+J99)*Premissas!$C$20*(1+Premissas!$C$26)^(7)</f>
        <v>76639.416036282855</v>
      </c>
      <c r="M99" s="83">
        <f t="shared" si="7"/>
        <v>73167.584603677227</v>
      </c>
      <c r="N99" s="83">
        <f t="shared" si="8"/>
        <v>3071348.6628072648</v>
      </c>
      <c r="O99" s="83">
        <f t="shared" si="9"/>
        <v>5358848.6628072653</v>
      </c>
      <c r="P99" s="86" t="str">
        <f t="shared" si="10"/>
        <v/>
      </c>
      <c r="Q99" s="67">
        <f t="shared" si="11"/>
        <v>6730.9651992737217</v>
      </c>
    </row>
    <row r="100" spans="1:17" ht="12.75" customHeight="1" x14ac:dyDescent="0.35">
      <c r="A100" s="87">
        <v>8</v>
      </c>
      <c r="B100" s="80" t="s">
        <v>121</v>
      </c>
      <c r="C100" s="81">
        <f>Premissas!$C$76+0.8333333333*(Premissas!$C$77-Premissas!$C$76)</f>
        <v>0.83700000000059993</v>
      </c>
      <c r="D100" s="82">
        <f>(1+Premissas!$C$26)^(7)</f>
        <v>1.7138242687795207</v>
      </c>
      <c r="E100" s="83">
        <f>Dimensionador!$C$22*(Premissas!$C$76+0.8333333333*(Premissas!$C$77-Premissas!$C$76))*Premissas!$C$21*(1+Premissas!$C$26)^(7)</f>
        <v>26617.049515761566</v>
      </c>
      <c r="F100" s="83">
        <f>Dimensionador!$C$7*Premissas!$C$13*(Premissas!$C$76+0.8333333333*(Premissas!$C$77-Premissas!$C$76))*Premissas!$C$20*(1+Premissas!$C$26)^(7)</f>
        <v>7207.9869900958702</v>
      </c>
      <c r="G100" s="84">
        <f>Dimensionador!$C$7*Premissas!$C$25*(1+Premissas!$C$27)^(7)/12</f>
        <v>2254.7687532789282</v>
      </c>
      <c r="H100" s="85">
        <f>Premissas!$C$62*(1-Premissas!$C$32)^(7)</f>
        <v>51595.009563881817</v>
      </c>
      <c r="I100" s="85">
        <f>MIN(H100,Dimensionador!$C$7*Premissas!$C$13*(Premissas!$C$76+0.8333333333*(Premissas!$C$77-Premissas!$C$76)))</f>
        <v>6718.9241166322518</v>
      </c>
      <c r="J100" s="85">
        <f t="shared" si="6"/>
        <v>44876.085447249563</v>
      </c>
      <c r="K100" s="83">
        <f>Premissas!$C$35*(1+Premissas!$C$27)^(7)/12</f>
        <v>1217.0626793266943</v>
      </c>
      <c r="L100" s="83">
        <f>E100-F100+(I100+J100)*Premissas!$C$20*(1+Premissas!$C$26)^(7)</f>
        <v>74759.61437513931</v>
      </c>
      <c r="M100" s="83">
        <f t="shared" si="7"/>
        <v>71287.782942533682</v>
      </c>
      <c r="N100" s="83">
        <f t="shared" si="8"/>
        <v>3142636.4457497983</v>
      </c>
      <c r="O100" s="83">
        <f t="shared" si="9"/>
        <v>5430136.4457497988</v>
      </c>
      <c r="P100" s="86" t="str">
        <f t="shared" si="10"/>
        <v/>
      </c>
      <c r="Q100" s="67">
        <f t="shared" si="11"/>
        <v>6718.9241166322518</v>
      </c>
    </row>
    <row r="101" spans="1:17" ht="12.75" customHeight="1" x14ac:dyDescent="0.35">
      <c r="A101" s="88">
        <v>8</v>
      </c>
      <c r="B101" s="89" t="s">
        <v>122</v>
      </c>
      <c r="C101" s="90">
        <f>Premissas!$C$76+0.9166666667*(Premissas!$C$77-Premissas!$C$76)</f>
        <v>0.83549999999939994</v>
      </c>
      <c r="D101" s="91">
        <f>(1+Premissas!$C$26)^(7)</f>
        <v>1.7138242687795207</v>
      </c>
      <c r="E101" s="92">
        <f>Dimensionador!$C$22*(Premissas!$C$76+0.9166666667*(Premissas!$C$77-Premissas!$C$76))*Premissas!$C$21*(1+Premissas!$C$26)^(7)</f>
        <v>26569.348710139642</v>
      </c>
      <c r="F101" s="92">
        <f>Dimensionador!$C$7*Premissas!$C$13*(Premissas!$C$76+0.9166666667*(Premissas!$C$77-Premissas!$C$76))*Premissas!$C$20*(1+Premissas!$C$26)^(7)</f>
        <v>7195.0694506767722</v>
      </c>
      <c r="G101" s="93">
        <f>Dimensionador!$C$7*Premissas!$C$25*(1+Premissas!$C$27)^(7)/12</f>
        <v>2254.7687532789282</v>
      </c>
      <c r="H101" s="94">
        <f>Premissas!$C$63*(1-Premissas!$C$32)^(7)</f>
        <v>53314.843216011213</v>
      </c>
      <c r="I101" s="95">
        <f>MIN(H101,Dimensionador!$C$7*Premissas!$C$13*(Premissas!$C$76+0.9166666667*(Premissas!$C$77-Premissas!$C$76)))</f>
        <v>6706.8830339763335</v>
      </c>
      <c r="J101" s="94">
        <f t="shared" si="6"/>
        <v>46607.960182034876</v>
      </c>
      <c r="K101" s="96">
        <f>Premissas!$C$35*(1+Premissas!$C$27)^(7)/12</f>
        <v>1217.0626793266943</v>
      </c>
      <c r="L101" s="92">
        <f>E101-F101+(I101+J101)*Premissas!$C$20*(1+Premissas!$C$26)^(7)</f>
        <v>76569.849503918929</v>
      </c>
      <c r="M101" s="96">
        <f t="shared" si="7"/>
        <v>73098.018071313301</v>
      </c>
      <c r="N101" s="96">
        <f t="shared" si="8"/>
        <v>3215734.4638211117</v>
      </c>
      <c r="O101" s="96">
        <f t="shared" si="9"/>
        <v>5503234.4638211122</v>
      </c>
      <c r="P101" s="97" t="str">
        <f t="shared" si="10"/>
        <v/>
      </c>
      <c r="Q101" s="67">
        <f t="shared" si="11"/>
        <v>6706.8830339763335</v>
      </c>
    </row>
    <row r="102" spans="1:17" ht="12.75" customHeight="1" x14ac:dyDescent="0.35">
      <c r="A102" s="59">
        <v>9</v>
      </c>
      <c r="B102" s="60" t="s">
        <v>110</v>
      </c>
      <c r="C102" s="61">
        <f>Premissas!$C$77+0*(Premissas!$C$78-Premissas!$C$77)</f>
        <v>0.83399999999999996</v>
      </c>
      <c r="D102" s="62">
        <f>(1+Premissas!$C$26)^(8)</f>
        <v>1.8509302102818823</v>
      </c>
      <c r="E102" s="63">
        <f>Dimensionador!$C$22*(Premissas!$C$77+0*(Premissas!$C$78-Premissas!$C$77))*Premissas!$C$21*(1+Premissas!$C$26)^(8)</f>
        <v>28643.379736940948</v>
      </c>
      <c r="F102" s="63">
        <f>Dimensionador!$C$7*Premissas!$C$13*(Premissas!$C$77+0*(Premissas!$C$78-Premissas!$C$77))*Premissas!$C$20*(1+Premissas!$C$26)^(8)</f>
        <v>7756.7240641750277</v>
      </c>
      <c r="G102" s="64">
        <f>Dimensionador!$C$7*Premissas!$C$25*(1+Premissas!$C$27)^(8)/12</f>
        <v>2322.4118158772958</v>
      </c>
      <c r="H102" s="65">
        <f>Premissas!$C$52*(1-Premissas!$C$32)^(8)</f>
        <v>53048.268999931162</v>
      </c>
      <c r="I102" s="65">
        <f>MIN(H102,Dimensionador!$C$7*Premissas!$C$13*(Premissas!$C$77+0*(Premissas!$C$78-Premissas!$C$77)))</f>
        <v>6694.8419513348636</v>
      </c>
      <c r="J102" s="65">
        <f t="shared" si="6"/>
        <v>46353.427048596299</v>
      </c>
      <c r="K102" s="63">
        <f>Premissas!$C$35*(1+Premissas!$C$27)^(8)/12</f>
        <v>1253.5745597064949</v>
      </c>
      <c r="L102" s="63">
        <f>E102-F102+(I102+J102)*Premissas!$C$20*(1+Premissas!$C$26)^(8)</f>
        <v>82349.015457458416</v>
      </c>
      <c r="M102" s="63">
        <f t="shared" si="7"/>
        <v>78773.029081874629</v>
      </c>
      <c r="N102" s="63">
        <f t="shared" si="8"/>
        <v>3294507.4929029862</v>
      </c>
      <c r="O102" s="63">
        <f t="shared" si="9"/>
        <v>5582007.4929029867</v>
      </c>
      <c r="P102" s="66" t="str">
        <f t="shared" si="10"/>
        <v/>
      </c>
      <c r="Q102" s="67">
        <f t="shared" si="11"/>
        <v>6694.8419513348636</v>
      </c>
    </row>
    <row r="103" spans="1:17" ht="12.75" customHeight="1" x14ac:dyDescent="0.35">
      <c r="A103" s="68">
        <v>9</v>
      </c>
      <c r="B103" s="60" t="s">
        <v>112</v>
      </c>
      <c r="C103" s="61">
        <f>Premissas!$C$77+0.0833333333*(Premissas!$C$78-Premissas!$C$77)</f>
        <v>0.8325833333339</v>
      </c>
      <c r="D103" s="62">
        <f>(1+Premissas!$C$26)^(8)</f>
        <v>1.8509302102818823</v>
      </c>
      <c r="E103" s="63">
        <f>Dimensionador!$C$22*(Premissas!$C$77+0.0833333333*(Premissas!$C$78-Premissas!$C$77))*Premissas!$C$21*(1+Premissas!$C$26)^(8)</f>
        <v>28594.724915264971</v>
      </c>
      <c r="F103" s="63">
        <f>Dimensionador!$C$7*Premissas!$C$13*(Premissas!$C$77+0.0833333333*(Premissas!$C$78-Premissas!$C$77))*Premissas!$C$20*(1+Premissas!$C$26)^(8)</f>
        <v>7743.5481739833594</v>
      </c>
      <c r="G103" s="64">
        <f>Dimensionador!$C$7*Premissas!$C$25*(1+Premissas!$C$27)^(8)/12</f>
        <v>2322.4118158772958</v>
      </c>
      <c r="H103" s="65">
        <f>Premissas!$C$53*(1-Premissas!$C$32)^(8)</f>
        <v>47914.565548324921</v>
      </c>
      <c r="I103" s="65">
        <f>MIN(H103,Dimensionador!$C$7*Premissas!$C$13*(Premissas!$C$77+0.0833333333*(Premissas!$C$78-Premissas!$C$77)))</f>
        <v>6683.469817729032</v>
      </c>
      <c r="J103" s="65">
        <f t="shared" si="6"/>
        <v>41231.095730595887</v>
      </c>
      <c r="K103" s="63">
        <f>Premissas!$C$35*(1+Premissas!$C$27)^(8)/12</f>
        <v>1253.5745597064949</v>
      </c>
      <c r="L103" s="63">
        <f>E103-F103+(I103+J103)*Premissas!$C$20*(1+Premissas!$C$26)^(8)</f>
        <v>76365.566224229668</v>
      </c>
      <c r="M103" s="63">
        <f t="shared" si="7"/>
        <v>72789.579848645881</v>
      </c>
      <c r="N103" s="63">
        <f t="shared" si="8"/>
        <v>3367297.072751632</v>
      </c>
      <c r="O103" s="63">
        <f t="shared" si="9"/>
        <v>5654797.0727516329</v>
      </c>
      <c r="P103" s="66" t="str">
        <f t="shared" si="10"/>
        <v/>
      </c>
      <c r="Q103" s="67">
        <f t="shared" si="11"/>
        <v>6683.469817729032</v>
      </c>
    </row>
    <row r="104" spans="1:17" ht="12.75" customHeight="1" x14ac:dyDescent="0.35">
      <c r="A104" s="68">
        <v>9</v>
      </c>
      <c r="B104" s="60" t="s">
        <v>113</v>
      </c>
      <c r="C104" s="61">
        <f>Premissas!$C$77+0.1666666667*(Premissas!$C$78-Premissas!$C$77)</f>
        <v>0.83116666666609995</v>
      </c>
      <c r="D104" s="62">
        <f>(1+Premissas!$C$26)^(8)</f>
        <v>1.8509302102818823</v>
      </c>
      <c r="E104" s="63">
        <f>Dimensionador!$C$22*(Premissas!$C$77+0.1666666667*(Premissas!$C$78-Premissas!$C$77))*Premissas!$C$21*(1+Premissas!$C$26)^(8)</f>
        <v>28546.070093530601</v>
      </c>
      <c r="F104" s="63">
        <f>Dimensionador!$C$7*Premissas!$C$13*(Premissas!$C$77+0.1666666667*(Premissas!$C$78-Premissas!$C$77))*Premissas!$C$20*(1+Premissas!$C$26)^(8)</f>
        <v>7730.3722837758787</v>
      </c>
      <c r="G104" s="64">
        <f>Dimensionador!$C$7*Premissas!$C$25*(1+Premissas!$C$27)^(8)/12</f>
        <v>2322.4118158772958</v>
      </c>
      <c r="H104" s="65">
        <f>Premissas!$C$54*(1-Premissas!$C$32)^(8)</f>
        <v>53048.268999931162</v>
      </c>
      <c r="I104" s="65">
        <f>MIN(H104,Dimensionador!$C$7*Premissas!$C$13*(Premissas!$C$77+0.1666666667*(Premissas!$C$78-Premissas!$C$77)))</f>
        <v>6672.0976841095535</v>
      </c>
      <c r="J104" s="65">
        <f t="shared" si="6"/>
        <v>46376.171315821608</v>
      </c>
      <c r="K104" s="63">
        <f>Premissas!$C$35*(1+Premissas!$C$27)^(8)/12</f>
        <v>1253.5745597064949</v>
      </c>
      <c r="L104" s="63">
        <f>E104-F104+(I104+J104)*Premissas!$C$20*(1+Premissas!$C$26)^(8)</f>
        <v>82278.057594447222</v>
      </c>
      <c r="M104" s="63">
        <f t="shared" si="7"/>
        <v>78702.071218863435</v>
      </c>
      <c r="N104" s="63">
        <f t="shared" si="8"/>
        <v>3445999.1439704956</v>
      </c>
      <c r="O104" s="63">
        <f t="shared" si="9"/>
        <v>5733499.143970496</v>
      </c>
      <c r="P104" s="66" t="str">
        <f t="shared" si="10"/>
        <v/>
      </c>
      <c r="Q104" s="67">
        <f t="shared" si="11"/>
        <v>6672.0976841095535</v>
      </c>
    </row>
    <row r="105" spans="1:17" ht="12.75" customHeight="1" x14ac:dyDescent="0.35">
      <c r="A105" s="68">
        <v>9</v>
      </c>
      <c r="B105" s="60" t="s">
        <v>114</v>
      </c>
      <c r="C105" s="61">
        <f>Premissas!$C$77+0.25*(Premissas!$C$78-Premissas!$C$77)</f>
        <v>0.82974999999999999</v>
      </c>
      <c r="D105" s="62">
        <f>(1+Premissas!$C$26)^(8)</f>
        <v>1.8509302102818823</v>
      </c>
      <c r="E105" s="63">
        <f>Dimensionador!$C$22*(Premissas!$C$77+0.25*(Premissas!$C$78-Premissas!$C$77))*Premissas!$C$21*(1+Premissas!$C$26)^(8)</f>
        <v>28497.415271854621</v>
      </c>
      <c r="F105" s="63">
        <f>Dimensionador!$C$7*Premissas!$C$13*(Premissas!$C$77+0.25*(Premissas!$C$78-Premissas!$C$77))*Premissas!$C$20*(1+Premissas!$C$26)^(8)</f>
        <v>7717.1963935842068</v>
      </c>
      <c r="G105" s="64">
        <f>Dimensionador!$C$7*Premissas!$C$25*(1+Premissas!$C$27)^(8)/12</f>
        <v>2322.4118158772958</v>
      </c>
      <c r="H105" s="65">
        <f>Premissas!$C$55*(1-Premissas!$C$32)^(8)</f>
        <v>51337.034516062413</v>
      </c>
      <c r="I105" s="65">
        <f>MIN(H105,Dimensionador!$C$7*Premissas!$C$13*(Premissas!$C$77+0.25*(Premissas!$C$78-Premissas!$C$77)))</f>
        <v>6660.725550503721</v>
      </c>
      <c r="J105" s="65">
        <f t="shared" si="6"/>
        <v>44676.308965558695</v>
      </c>
      <c r="K105" s="63">
        <f>Premissas!$C$35*(1+Premissas!$C$27)^(8)/12</f>
        <v>1253.5745597064949</v>
      </c>
      <c r="L105" s="63">
        <f>E105-F105+(I105+J105)*Premissas!$C$20*(1+Premissas!$C$26)^(8)</f>
        <v>80259.921895714768</v>
      </c>
      <c r="M105" s="63">
        <f t="shared" si="7"/>
        <v>76683.935520130981</v>
      </c>
      <c r="N105" s="63">
        <f t="shared" si="8"/>
        <v>3522683.0794906267</v>
      </c>
      <c r="O105" s="63">
        <f t="shared" si="9"/>
        <v>5810183.0794906272</v>
      </c>
      <c r="P105" s="66" t="str">
        <f t="shared" si="10"/>
        <v/>
      </c>
      <c r="Q105" s="67">
        <f t="shared" si="11"/>
        <v>6660.725550503721</v>
      </c>
    </row>
    <row r="106" spans="1:17" ht="12.75" customHeight="1" x14ac:dyDescent="0.35">
      <c r="A106" s="68">
        <v>9</v>
      </c>
      <c r="B106" s="60" t="s">
        <v>115</v>
      </c>
      <c r="C106" s="61">
        <f>Premissas!$C$77+0.3333333333*(Premissas!$C$78-Premissas!$C$77)</f>
        <v>0.82833333333389991</v>
      </c>
      <c r="D106" s="62">
        <f>(1+Premissas!$C$26)^(8)</f>
        <v>1.8509302102818823</v>
      </c>
      <c r="E106" s="63">
        <f>Dimensionador!$C$22*(Premissas!$C$77+0.3333333333*(Premissas!$C$78-Premissas!$C$77))*Premissas!$C$21*(1+Premissas!$C$26)^(8)</f>
        <v>28448.760450178637</v>
      </c>
      <c r="F106" s="63">
        <f>Dimensionador!$C$7*Premissas!$C$13*(Premissas!$C$77+0.3333333333*(Premissas!$C$78-Premissas!$C$77))*Premissas!$C$20*(1+Premissas!$C$26)^(8)</f>
        <v>7704.0205033925376</v>
      </c>
      <c r="G106" s="64">
        <f>Dimensionador!$C$7*Premissas!$C$25*(1+Premissas!$C$27)^(8)/12</f>
        <v>2322.4118158772958</v>
      </c>
      <c r="H106" s="65">
        <f>Premissas!$C$56*(1-Premissas!$C$32)^(8)</f>
        <v>53048.268999931162</v>
      </c>
      <c r="I106" s="65">
        <f>MIN(H106,Dimensionador!$C$7*Premissas!$C$13*(Premissas!$C$77+0.3333333333*(Premissas!$C$78-Premissas!$C$77)))</f>
        <v>6649.3534168978886</v>
      </c>
      <c r="J106" s="65">
        <f t="shared" si="6"/>
        <v>46398.915583033275</v>
      </c>
      <c r="K106" s="63">
        <f>Premissas!$C$35*(1+Premissas!$C$27)^(8)/12</f>
        <v>1253.5745597064949</v>
      </c>
      <c r="L106" s="63">
        <f>E106-F106+(I106+J106)*Premissas!$C$20*(1+Premissas!$C$26)^(8)</f>
        <v>82207.099731478593</v>
      </c>
      <c r="M106" s="63">
        <f t="shared" si="7"/>
        <v>78631.113355894806</v>
      </c>
      <c r="N106" s="63">
        <f t="shared" si="8"/>
        <v>3601314.1928465217</v>
      </c>
      <c r="O106" s="63">
        <f t="shared" si="9"/>
        <v>5888814.1928465217</v>
      </c>
      <c r="P106" s="66" t="str">
        <f t="shared" si="10"/>
        <v/>
      </c>
      <c r="Q106" s="67">
        <f t="shared" si="11"/>
        <v>6649.3534168978886</v>
      </c>
    </row>
    <row r="107" spans="1:17" ht="12.75" customHeight="1" x14ac:dyDescent="0.35">
      <c r="A107" s="68">
        <v>9</v>
      </c>
      <c r="B107" s="60" t="s">
        <v>116</v>
      </c>
      <c r="C107" s="61">
        <f>Premissas!$C$77+0.4166666667*(Premissas!$C$78-Premissas!$C$77)</f>
        <v>0.82691666666609998</v>
      </c>
      <c r="D107" s="62">
        <f>(1+Premissas!$C$26)^(8)</f>
        <v>1.8509302102818823</v>
      </c>
      <c r="E107" s="63">
        <f>Dimensionador!$C$22*(Premissas!$C$77+0.4166666667*(Premissas!$C$78-Premissas!$C$77))*Premissas!$C$21*(1+Premissas!$C$26)^(8)</f>
        <v>28400.105628444275</v>
      </c>
      <c r="F107" s="63">
        <f>Dimensionador!$C$7*Premissas!$C$13*(Premissas!$C$77+0.4166666667*(Premissas!$C$78-Premissas!$C$77))*Premissas!$C$20*(1+Premissas!$C$26)^(8)</f>
        <v>7690.8446131850569</v>
      </c>
      <c r="G107" s="64">
        <f>Dimensionador!$C$7*Premissas!$C$25*(1+Premissas!$C$27)^(8)/12</f>
        <v>2322.4118158772958</v>
      </c>
      <c r="H107" s="65">
        <f>Premissas!$C$57*(1-Premissas!$C$32)^(8)</f>
        <v>51337.034516062413</v>
      </c>
      <c r="I107" s="65">
        <f>MIN(H107,Dimensionador!$C$7*Premissas!$C$13*(Premissas!$C$77+0.4166666667*(Premissas!$C$78-Premissas!$C$77)))</f>
        <v>6637.98128327841</v>
      </c>
      <c r="J107" s="65">
        <f t="shared" si="6"/>
        <v>44699.053232784005</v>
      </c>
      <c r="K107" s="63">
        <f>Premissas!$C$35*(1+Premissas!$C$27)^(8)/12</f>
        <v>1253.5745597064949</v>
      </c>
      <c r="L107" s="63">
        <f>E107-F107+(I107+J107)*Premissas!$C$20*(1+Premissas!$C$26)^(8)</f>
        <v>80188.964032703574</v>
      </c>
      <c r="M107" s="63">
        <f t="shared" si="7"/>
        <v>76612.977657119787</v>
      </c>
      <c r="N107" s="63">
        <f t="shared" si="8"/>
        <v>3677927.1705036415</v>
      </c>
      <c r="O107" s="63">
        <f t="shared" si="9"/>
        <v>5965427.1705036415</v>
      </c>
      <c r="P107" s="66" t="str">
        <f t="shared" si="10"/>
        <v/>
      </c>
      <c r="Q107" s="67">
        <f t="shared" si="11"/>
        <v>6637.98128327841</v>
      </c>
    </row>
    <row r="108" spans="1:17" ht="12.75" customHeight="1" x14ac:dyDescent="0.35">
      <c r="A108" s="68">
        <v>9</v>
      </c>
      <c r="B108" s="60" t="s">
        <v>117</v>
      </c>
      <c r="C108" s="61">
        <f>Premissas!$C$77+0.5*(Premissas!$C$78-Premissas!$C$77)</f>
        <v>0.8254999999999999</v>
      </c>
      <c r="D108" s="62">
        <f>(1+Premissas!$C$26)^(8)</f>
        <v>1.8509302102818823</v>
      </c>
      <c r="E108" s="63">
        <f>Dimensionador!$C$22*(Premissas!$C$77+0.5*(Premissas!$C$78-Premissas!$C$77))*Premissas!$C$21*(1+Premissas!$C$26)^(8)</f>
        <v>28351.450806768287</v>
      </c>
      <c r="F108" s="63">
        <f>Dimensionador!$C$7*Premissas!$C$13*(Premissas!$C$77+0.5*(Premissas!$C$78-Premissas!$C$77))*Premissas!$C$20*(1+Premissas!$C$26)^(8)</f>
        <v>7677.6687229933868</v>
      </c>
      <c r="G108" s="64">
        <f>Dimensionador!$C$7*Premissas!$C$25*(1+Premissas!$C$27)^(8)/12</f>
        <v>2322.4118158772958</v>
      </c>
      <c r="H108" s="65">
        <f>Premissas!$C$58*(1-Premissas!$C$32)^(8)</f>
        <v>53048.268999931162</v>
      </c>
      <c r="I108" s="65">
        <f>MIN(H108,Dimensionador!$C$7*Premissas!$C$13*(Premissas!$C$77+0.5*(Premissas!$C$78-Premissas!$C$77)))</f>
        <v>6626.6091496725776</v>
      </c>
      <c r="J108" s="65">
        <f t="shared" si="6"/>
        <v>46421.659850258584</v>
      </c>
      <c r="K108" s="63">
        <f>Premissas!$C$35*(1+Premissas!$C$27)^(8)/12</f>
        <v>1253.5745597064949</v>
      </c>
      <c r="L108" s="63">
        <f>E108-F108+(I108+J108)*Premissas!$C$20*(1+Premissas!$C$26)^(8)</f>
        <v>82136.141868467399</v>
      </c>
      <c r="M108" s="63">
        <f t="shared" si="7"/>
        <v>78560.155492883612</v>
      </c>
      <c r="N108" s="63">
        <f t="shared" si="8"/>
        <v>3756487.3259965251</v>
      </c>
      <c r="O108" s="63">
        <f t="shared" si="9"/>
        <v>6043987.3259965247</v>
      </c>
      <c r="P108" s="66" t="str">
        <f t="shared" si="10"/>
        <v/>
      </c>
      <c r="Q108" s="67">
        <f t="shared" si="11"/>
        <v>6626.6091496725776</v>
      </c>
    </row>
    <row r="109" spans="1:17" ht="12.75" customHeight="1" x14ac:dyDescent="0.35">
      <c r="A109" s="68">
        <v>9</v>
      </c>
      <c r="B109" s="60" t="s">
        <v>118</v>
      </c>
      <c r="C109" s="61">
        <f>Premissas!$C$77+0.5833333333*(Premissas!$C$78-Premissas!$C$77)</f>
        <v>0.82408333333389994</v>
      </c>
      <c r="D109" s="62">
        <f>(1+Premissas!$C$26)^(8)</f>
        <v>1.8509302102818823</v>
      </c>
      <c r="E109" s="63">
        <f>Dimensionador!$C$22*(Premissas!$C$77+0.5833333333*(Premissas!$C$78-Premissas!$C$77))*Premissas!$C$21*(1+Premissas!$C$26)^(8)</f>
        <v>28302.795985092307</v>
      </c>
      <c r="F109" s="63">
        <f>Dimensionador!$C$7*Premissas!$C$13*(Premissas!$C$77+0.5833333333*(Premissas!$C$78-Premissas!$C$77))*Premissas!$C$20*(1+Premissas!$C$26)^(8)</f>
        <v>7664.4928328017186</v>
      </c>
      <c r="G109" s="64">
        <f>Dimensionador!$C$7*Premissas!$C$25*(1+Premissas!$C$27)^(8)/12</f>
        <v>2322.4118158772958</v>
      </c>
      <c r="H109" s="65">
        <f>Premissas!$C$59*(1-Premissas!$C$32)^(8)</f>
        <v>53048.268999931162</v>
      </c>
      <c r="I109" s="65">
        <f>MIN(H109,Dimensionador!$C$7*Premissas!$C$13*(Premissas!$C$77+0.5833333333*(Premissas!$C$78-Premissas!$C$77)))</f>
        <v>6615.237016066746</v>
      </c>
      <c r="J109" s="65">
        <f t="shared" si="6"/>
        <v>46433.031983864414</v>
      </c>
      <c r="K109" s="63">
        <f>Premissas!$C$35*(1+Premissas!$C$27)^(8)/12</f>
        <v>1253.5745597064949</v>
      </c>
      <c r="L109" s="63">
        <f>E109-F109+(I109+J109)*Premissas!$C$20*(1+Premissas!$C$26)^(8)</f>
        <v>82100.662936983077</v>
      </c>
      <c r="M109" s="63">
        <f t="shared" si="7"/>
        <v>78524.67656139929</v>
      </c>
      <c r="N109" s="63">
        <f t="shared" si="8"/>
        <v>3835012.0025579245</v>
      </c>
      <c r="O109" s="63">
        <f t="shared" si="9"/>
        <v>6122512.002557924</v>
      </c>
      <c r="P109" s="66" t="str">
        <f t="shared" si="10"/>
        <v/>
      </c>
      <c r="Q109" s="67">
        <f t="shared" si="11"/>
        <v>6615.237016066746</v>
      </c>
    </row>
    <row r="110" spans="1:17" ht="12.75" customHeight="1" x14ac:dyDescent="0.35">
      <c r="A110" s="68">
        <v>9</v>
      </c>
      <c r="B110" s="60" t="s">
        <v>119</v>
      </c>
      <c r="C110" s="61">
        <f>Premissas!$C$77+0.6666666667*(Premissas!$C$78-Premissas!$C$77)</f>
        <v>0.8226666666661</v>
      </c>
      <c r="D110" s="62">
        <f>(1+Premissas!$C$26)^(8)</f>
        <v>1.8509302102818823</v>
      </c>
      <c r="E110" s="63">
        <f>Dimensionador!$C$22*(Premissas!$C$77+0.6666666667*(Premissas!$C$78-Premissas!$C$77))*Premissas!$C$21*(1+Premissas!$C$26)^(8)</f>
        <v>28254.141163357941</v>
      </c>
      <c r="F110" s="63">
        <f>Dimensionador!$C$7*Premissas!$C$13*(Premissas!$C$77+0.6666666667*(Premissas!$C$78-Premissas!$C$77))*Premissas!$C$20*(1+Premissas!$C$26)^(8)</f>
        <v>7651.3169425942378</v>
      </c>
      <c r="G110" s="64">
        <f>Dimensionador!$C$7*Premissas!$C$25*(1+Premissas!$C$27)^(8)/12</f>
        <v>2322.4118158772958</v>
      </c>
      <c r="H110" s="65">
        <f>Premissas!$C$60*(1-Premissas!$C$32)^(8)</f>
        <v>51337.034516062413</v>
      </c>
      <c r="I110" s="65">
        <f>MIN(H110,Dimensionador!$C$7*Premissas!$C$13*(Premissas!$C$77+0.6666666667*(Premissas!$C$78-Premissas!$C$77)))</f>
        <v>6603.8648824472675</v>
      </c>
      <c r="J110" s="65">
        <f t="shared" si="6"/>
        <v>44733.169633615144</v>
      </c>
      <c r="K110" s="63">
        <f>Premissas!$C$35*(1+Premissas!$C$27)^(8)/12</f>
        <v>1253.5745597064949</v>
      </c>
      <c r="L110" s="63">
        <f>E110-F110+(I110+J110)*Premissas!$C$20*(1+Premissas!$C$26)^(8)</f>
        <v>80082.527238208044</v>
      </c>
      <c r="M110" s="63">
        <f t="shared" si="7"/>
        <v>76506.540862624257</v>
      </c>
      <c r="N110" s="63">
        <f t="shared" si="8"/>
        <v>3911518.5434205486</v>
      </c>
      <c r="O110" s="63">
        <f t="shared" si="9"/>
        <v>6199018.5434205486</v>
      </c>
      <c r="P110" s="66" t="str">
        <f t="shared" si="10"/>
        <v/>
      </c>
      <c r="Q110" s="67">
        <f t="shared" si="11"/>
        <v>6603.8648824472675</v>
      </c>
    </row>
    <row r="111" spans="1:17" ht="12.75" customHeight="1" x14ac:dyDescent="0.35">
      <c r="A111" s="68">
        <v>9</v>
      </c>
      <c r="B111" s="60" t="s">
        <v>120</v>
      </c>
      <c r="C111" s="61">
        <f>Premissas!$C$77+0.75*(Premissas!$C$78-Premissas!$C$77)</f>
        <v>0.82124999999999992</v>
      </c>
      <c r="D111" s="62">
        <f>(1+Premissas!$C$26)^(8)</f>
        <v>1.8509302102818823</v>
      </c>
      <c r="E111" s="63">
        <f>Dimensionador!$C$22*(Premissas!$C$77+0.75*(Premissas!$C$78-Premissas!$C$77))*Premissas!$C$21*(1+Premissas!$C$26)^(8)</f>
        <v>28205.486341681961</v>
      </c>
      <c r="F111" s="63">
        <f>Dimensionador!$C$7*Premissas!$C$13*(Premissas!$C$77+0.75*(Premissas!$C$78-Premissas!$C$77))*Premissas!$C$20*(1+Premissas!$C$26)^(8)</f>
        <v>7638.1410524025678</v>
      </c>
      <c r="G111" s="64">
        <f>Dimensionador!$C$7*Premissas!$C$25*(1+Premissas!$C$27)^(8)/12</f>
        <v>2322.4118158772958</v>
      </c>
      <c r="H111" s="65">
        <f>Premissas!$C$61*(1-Premissas!$C$32)^(8)</f>
        <v>53048.268999931162</v>
      </c>
      <c r="I111" s="65">
        <f>MIN(H111,Dimensionador!$C$7*Premissas!$C$13*(Premissas!$C$77+0.75*(Premissas!$C$78-Premissas!$C$77)))</f>
        <v>6592.4927488414351</v>
      </c>
      <c r="J111" s="65">
        <f t="shared" si="6"/>
        <v>46455.77625108973</v>
      </c>
      <c r="K111" s="63">
        <f>Premissas!$C$35*(1+Premissas!$C$27)^(8)/12</f>
        <v>1253.5745597064949</v>
      </c>
      <c r="L111" s="63">
        <f>E111-F111+(I111+J111)*Premissas!$C$20*(1+Premissas!$C$26)^(8)</f>
        <v>82029.705073971883</v>
      </c>
      <c r="M111" s="63">
        <f t="shared" si="7"/>
        <v>78453.718698388097</v>
      </c>
      <c r="N111" s="63">
        <f t="shared" si="8"/>
        <v>3989972.2621189365</v>
      </c>
      <c r="O111" s="63">
        <f t="shared" si="9"/>
        <v>6277472.2621189365</v>
      </c>
      <c r="P111" s="66" t="str">
        <f t="shared" si="10"/>
        <v/>
      </c>
      <c r="Q111" s="67">
        <f t="shared" si="11"/>
        <v>6592.4927488414351</v>
      </c>
    </row>
    <row r="112" spans="1:17" ht="12.75" customHeight="1" x14ac:dyDescent="0.35">
      <c r="A112" s="68">
        <v>9</v>
      </c>
      <c r="B112" s="60" t="s">
        <v>121</v>
      </c>
      <c r="C112" s="61">
        <f>Premissas!$C$77+0.8333333333*(Premissas!$C$78-Premissas!$C$77)</f>
        <v>0.81983333333389996</v>
      </c>
      <c r="D112" s="62">
        <f>(1+Premissas!$C$26)^(8)</f>
        <v>1.8509302102818823</v>
      </c>
      <c r="E112" s="63">
        <f>Dimensionador!$C$22*(Premissas!$C$77+0.8333333333*(Premissas!$C$78-Premissas!$C$77))*Premissas!$C$21*(1+Premissas!$C$26)^(8)</f>
        <v>28156.831520005977</v>
      </c>
      <c r="F112" s="63">
        <f>Dimensionador!$C$7*Premissas!$C$13*(Premissas!$C$77+0.8333333333*(Premissas!$C$78-Premissas!$C$77))*Premissas!$C$20*(1+Premissas!$C$26)^(8)</f>
        <v>7624.9651622108986</v>
      </c>
      <c r="G112" s="64">
        <f>Dimensionador!$C$7*Premissas!$C$25*(1+Premissas!$C$27)^(8)/12</f>
        <v>2322.4118158772958</v>
      </c>
      <c r="H112" s="65">
        <f>Premissas!$C$62*(1-Premissas!$C$32)^(8)</f>
        <v>51337.034516062413</v>
      </c>
      <c r="I112" s="65">
        <f>MIN(H112,Dimensionador!$C$7*Premissas!$C$13*(Premissas!$C$77+0.8333333333*(Premissas!$C$78-Premissas!$C$77)))</f>
        <v>6581.1206152356035</v>
      </c>
      <c r="J112" s="65">
        <f t="shared" si="6"/>
        <v>44755.91390082681</v>
      </c>
      <c r="K112" s="63">
        <f>Premissas!$C$35*(1+Premissas!$C$27)^(8)/12</f>
        <v>1253.5745597064949</v>
      </c>
      <c r="L112" s="63">
        <f>E112-F112+(I112+J112)*Premissas!$C$20*(1+Premissas!$C$26)^(8)</f>
        <v>80011.569375239429</v>
      </c>
      <c r="M112" s="63">
        <f t="shared" si="7"/>
        <v>76435.582999655642</v>
      </c>
      <c r="N112" s="63">
        <f t="shared" si="8"/>
        <v>4066407.845118592</v>
      </c>
      <c r="O112" s="63">
        <f t="shared" si="9"/>
        <v>6353907.8451185925</v>
      </c>
      <c r="P112" s="66" t="str">
        <f t="shared" si="10"/>
        <v/>
      </c>
      <c r="Q112" s="67">
        <f t="shared" si="11"/>
        <v>6581.1206152356035</v>
      </c>
    </row>
    <row r="113" spans="1:17" ht="12.75" customHeight="1" x14ac:dyDescent="0.35">
      <c r="A113" s="69">
        <v>9</v>
      </c>
      <c r="B113" s="70" t="s">
        <v>122</v>
      </c>
      <c r="C113" s="71">
        <f>Premissas!$C$77+0.9166666667*(Premissas!$C$78-Premissas!$C$77)</f>
        <v>0.81841666666609991</v>
      </c>
      <c r="D113" s="72">
        <f>(1+Premissas!$C$26)^(8)</f>
        <v>1.8509302102818823</v>
      </c>
      <c r="E113" s="73">
        <f>Dimensionador!$C$22*(Premissas!$C$77+0.9166666667*(Premissas!$C$78-Premissas!$C$77))*Premissas!$C$21*(1+Premissas!$C$26)^(8)</f>
        <v>28108.176698271611</v>
      </c>
      <c r="F113" s="73">
        <f>Dimensionador!$C$7*Premissas!$C$13*(Premissas!$C$77+0.9166666667*(Premissas!$C$78-Premissas!$C$77))*Premissas!$C$20*(1+Premissas!$C$26)^(8)</f>
        <v>7611.7892720034179</v>
      </c>
      <c r="G113" s="74">
        <f>Dimensionador!$C$7*Premissas!$C$25*(1+Premissas!$C$27)^(8)/12</f>
        <v>2322.4118158772958</v>
      </c>
      <c r="H113" s="75">
        <f>Premissas!$C$63*(1-Premissas!$C$32)^(8)</f>
        <v>53048.268999931162</v>
      </c>
      <c r="I113" s="76">
        <f>MIN(H113,Dimensionador!$C$7*Premissas!$C$13*(Premissas!$C$77+0.9166666667*(Premissas!$C$78-Premissas!$C$77)))</f>
        <v>6569.7484816161241</v>
      </c>
      <c r="J113" s="75">
        <f t="shared" si="6"/>
        <v>46478.520518315039</v>
      </c>
      <c r="K113" s="77">
        <f>Premissas!$C$35*(1+Premissas!$C$27)^(8)/12</f>
        <v>1253.5745597064949</v>
      </c>
      <c r="L113" s="73">
        <f>E113-F113+(I113+J113)*Premissas!$C$20*(1+Premissas!$C$26)^(8)</f>
        <v>81958.74721096069</v>
      </c>
      <c r="M113" s="77">
        <f t="shared" si="7"/>
        <v>78382.760835376903</v>
      </c>
      <c r="N113" s="77">
        <f t="shared" si="8"/>
        <v>4144790.6059539691</v>
      </c>
      <c r="O113" s="77">
        <f t="shared" si="9"/>
        <v>6432290.6059539691</v>
      </c>
      <c r="P113" s="78" t="str">
        <f t="shared" si="10"/>
        <v/>
      </c>
      <c r="Q113" s="67">
        <f t="shared" si="11"/>
        <v>6569.7484816161241</v>
      </c>
    </row>
    <row r="114" spans="1:17" ht="12.75" customHeight="1" x14ac:dyDescent="0.35">
      <c r="A114" s="79">
        <v>10</v>
      </c>
      <c r="B114" s="80" t="s">
        <v>110</v>
      </c>
      <c r="C114" s="81">
        <f>Premissas!$C$78+0*(Premissas!$C$79-Premissas!$C$78)</f>
        <v>0.81699999999999995</v>
      </c>
      <c r="D114" s="82">
        <f>(1+Premissas!$C$26)^(9)</f>
        <v>1.9990046271044331</v>
      </c>
      <c r="E114" s="83">
        <f>Dimensionador!$C$22*(Premissas!$C$78+0*(Premissas!$C$79-Premissas!$C$78))*Premissas!$C$21*(1+Premissas!$C$26)^(9)</f>
        <v>30304.283626723281</v>
      </c>
      <c r="F114" s="83">
        <f>Dimensionador!$C$7*Premissas!$C$13*(Premissas!$C$78+0*(Premissas!$C$79-Premissas!$C$78))*Premissas!$C$20*(1+Premissas!$C$26)^(9)</f>
        <v>8206.5024523566881</v>
      </c>
      <c r="G114" s="84">
        <f>Dimensionador!$C$7*Premissas!$C$25*(1+Premissas!$C$27)^(9)/12</f>
        <v>2392.0841703536148</v>
      </c>
      <c r="H114" s="85">
        <f>Premissas!$C$52*(1-Premissas!$C$32)^(9)</f>
        <v>52783.027654931502</v>
      </c>
      <c r="I114" s="85">
        <f>MIN(H114,Dimensionador!$C$7*Premissas!$C$13*(Premissas!$C$78+0*(Premissas!$C$79-Premissas!$C$78)))</f>
        <v>6558.3763480102925</v>
      </c>
      <c r="J114" s="85">
        <f t="shared" si="6"/>
        <v>46224.651306921209</v>
      </c>
      <c r="K114" s="83">
        <f>Premissas!$C$35*(1+Premissas!$C$27)^(9)/12</f>
        <v>1291.1817964976897</v>
      </c>
      <c r="L114" s="83">
        <f>E114-F114+(I114+J114)*Premissas!$C$20*(1+Premissas!$C$26)^(9)</f>
        <v>88145.232998997148</v>
      </c>
      <c r="M114" s="83">
        <f t="shared" si="7"/>
        <v>84461.96703214584</v>
      </c>
      <c r="N114" s="83">
        <f t="shared" si="8"/>
        <v>4229252.5729861148</v>
      </c>
      <c r="O114" s="83">
        <f t="shared" si="9"/>
        <v>6516752.5729861148</v>
      </c>
      <c r="P114" s="86" t="str">
        <f t="shared" si="10"/>
        <v/>
      </c>
      <c r="Q114" s="67">
        <f t="shared" si="11"/>
        <v>6558.3763480102925</v>
      </c>
    </row>
    <row r="115" spans="1:17" ht="12.75" customHeight="1" x14ac:dyDescent="0.35">
      <c r="A115" s="87">
        <v>10</v>
      </c>
      <c r="B115" s="80" t="s">
        <v>112</v>
      </c>
      <c r="C115" s="81">
        <f>Premissas!$C$78+0.0833333333*(Premissas!$C$79-Premissas!$C$78)</f>
        <v>0.81550000000059997</v>
      </c>
      <c r="D115" s="82">
        <f>(1+Premissas!$C$26)^(9)</f>
        <v>1.9990046271044331</v>
      </c>
      <c r="E115" s="83">
        <f>Dimensionador!$C$22*(Premissas!$C$78+0.0833333333*(Premissas!$C$79-Premissas!$C$78))*Premissas!$C$21*(1+Premissas!$C$26)^(9)</f>
        <v>30248.645407112635</v>
      </c>
      <c r="F115" s="83">
        <f>Dimensionador!$C$7*Premissas!$C$13*(Premissas!$C$78+0.0833333333*(Premissas!$C$79-Premissas!$C$78))*Premissas!$C$20*(1+Premissas!$C$26)^(9)</f>
        <v>8191.4354343963323</v>
      </c>
      <c r="G115" s="84">
        <f>Dimensionador!$C$7*Premissas!$C$25*(1+Premissas!$C$27)^(9)/12</f>
        <v>2392.0841703536148</v>
      </c>
      <c r="H115" s="85">
        <f>Premissas!$C$53*(1-Premissas!$C$32)^(9)</f>
        <v>47674.992720583294</v>
      </c>
      <c r="I115" s="85">
        <f>MIN(H115,Dimensionador!$C$7*Premissas!$C$13*(Premissas!$C$78+0.0833333333*(Premissas!$C$79-Premissas!$C$78)))</f>
        <v>6546.3352653688235</v>
      </c>
      <c r="J115" s="85">
        <f t="shared" si="6"/>
        <v>41128.657455214474</v>
      </c>
      <c r="K115" s="83">
        <f>Premissas!$C$35*(1+Premissas!$C$27)^(9)/12</f>
        <v>1291.1817964976897</v>
      </c>
      <c r="L115" s="83">
        <f>E115-F115+(I115+J115)*Premissas!$C$20*(1+Premissas!$C$26)^(9)</f>
        <v>81712.972911092293</v>
      </c>
      <c r="M115" s="83">
        <f t="shared" si="7"/>
        <v>78029.706944240985</v>
      </c>
      <c r="N115" s="83">
        <f t="shared" si="8"/>
        <v>4307282.279930356</v>
      </c>
      <c r="O115" s="83">
        <f t="shared" si="9"/>
        <v>6594782.279930356</v>
      </c>
      <c r="P115" s="86" t="str">
        <f t="shared" si="10"/>
        <v/>
      </c>
      <c r="Q115" s="67">
        <f t="shared" si="11"/>
        <v>6546.3352653688235</v>
      </c>
    </row>
    <row r="116" spans="1:17" ht="12.75" customHeight="1" x14ac:dyDescent="0.35">
      <c r="A116" s="87">
        <v>10</v>
      </c>
      <c r="B116" s="80" t="s">
        <v>113</v>
      </c>
      <c r="C116" s="81">
        <f>Premissas!$C$78+0.1666666667*(Premissas!$C$79-Premissas!$C$78)</f>
        <v>0.81399999999939998</v>
      </c>
      <c r="D116" s="82">
        <f>(1+Premissas!$C$26)^(9)</f>
        <v>1.9990046271044331</v>
      </c>
      <c r="E116" s="83">
        <f>Dimensionador!$C$22*(Premissas!$C$78+0.1666666667*(Premissas!$C$79-Premissas!$C$78))*Premissas!$C$21*(1+Premissas!$C$26)^(9)</f>
        <v>30193.007187435211</v>
      </c>
      <c r="F116" s="83">
        <f>Dimensionador!$C$7*Premissas!$C$13*(Premissas!$C$78+0.1666666667*(Premissas!$C$79-Premissas!$C$78))*Premissas!$C$20*(1+Premissas!$C$26)^(9)</f>
        <v>8176.3684164178949</v>
      </c>
      <c r="G116" s="84">
        <f>Dimensionador!$C$7*Premissas!$C$25*(1+Premissas!$C$27)^(9)/12</f>
        <v>2392.0841703536148</v>
      </c>
      <c r="H116" s="85">
        <f>Premissas!$C$54*(1-Premissas!$C$32)^(9)</f>
        <v>52783.027654931502</v>
      </c>
      <c r="I116" s="85">
        <f>MIN(H116,Dimensionador!$C$7*Premissas!$C$13*(Premissas!$C$78+0.1666666667*(Premissas!$C$79-Premissas!$C$78)))</f>
        <v>6534.2941827129043</v>
      </c>
      <c r="J116" s="85">
        <f t="shared" si="6"/>
        <v>46248.733472218599</v>
      </c>
      <c r="K116" s="83">
        <f>Premissas!$C$35*(1+Premissas!$C$27)^(9)/12</f>
        <v>1291.1817964976897</v>
      </c>
      <c r="L116" s="83">
        <f>E116-F116+(I116+J116)*Premissas!$C$20*(1+Premissas!$C$26)^(9)</f>
        <v>88064.090595647867</v>
      </c>
      <c r="M116" s="83">
        <f t="shared" si="7"/>
        <v>84380.824628796559</v>
      </c>
      <c r="N116" s="83">
        <f t="shared" si="8"/>
        <v>4391663.1045591524</v>
      </c>
      <c r="O116" s="83">
        <f t="shared" si="9"/>
        <v>6679163.1045591524</v>
      </c>
      <c r="P116" s="86" t="str">
        <f t="shared" si="10"/>
        <v/>
      </c>
      <c r="Q116" s="67">
        <f t="shared" si="11"/>
        <v>6534.2941827129043</v>
      </c>
    </row>
    <row r="117" spans="1:17" ht="12.75" customHeight="1" x14ac:dyDescent="0.35">
      <c r="A117" s="87">
        <v>10</v>
      </c>
      <c r="B117" s="80" t="s">
        <v>114</v>
      </c>
      <c r="C117" s="81">
        <f>Premissas!$C$78+0.25*(Premissas!$C$79-Premissas!$C$78)</f>
        <v>0.8125</v>
      </c>
      <c r="D117" s="82">
        <f>(1+Premissas!$C$26)^(9)</f>
        <v>1.9990046271044331</v>
      </c>
      <c r="E117" s="83">
        <f>Dimensionador!$C$22*(Premissas!$C$78+0.25*(Premissas!$C$79-Premissas!$C$78))*Premissas!$C$21*(1+Premissas!$C$26)^(9)</f>
        <v>30137.368967824561</v>
      </c>
      <c r="F117" s="83">
        <f>Dimensionador!$C$7*Premissas!$C$13*(Premissas!$C$78+0.25*(Premissas!$C$79-Premissas!$C$78))*Premissas!$C$20*(1+Premissas!$C$26)^(9)</f>
        <v>8161.3013984575391</v>
      </c>
      <c r="G117" s="84">
        <f>Dimensionador!$C$7*Premissas!$C$25*(1+Premissas!$C$27)^(9)/12</f>
        <v>2392.0841703536148</v>
      </c>
      <c r="H117" s="85">
        <f>Premissas!$C$55*(1-Premissas!$C$32)^(9)</f>
        <v>51080.349343482099</v>
      </c>
      <c r="I117" s="85">
        <f>MIN(H117,Dimensionador!$C$7*Premissas!$C$13*(Premissas!$C$78+0.25*(Premissas!$C$79-Premissas!$C$78)))</f>
        <v>6522.2531000714353</v>
      </c>
      <c r="J117" s="85">
        <f t="shared" si="6"/>
        <v>44558.096243410662</v>
      </c>
      <c r="K117" s="83">
        <f>Premissas!$C$35*(1+Premissas!$C$27)^(9)/12</f>
        <v>1291.1817964976897</v>
      </c>
      <c r="L117" s="83">
        <f>E117-F117+(I117+J117)*Premissas!$C$20*(1+Premissas!$C$26)^(9)</f>
        <v>85892.956431912724</v>
      </c>
      <c r="M117" s="83">
        <f t="shared" si="7"/>
        <v>82209.690465061416</v>
      </c>
      <c r="N117" s="83">
        <f t="shared" si="8"/>
        <v>4473872.7950242134</v>
      </c>
      <c r="O117" s="83">
        <f t="shared" si="9"/>
        <v>6761372.7950242134</v>
      </c>
      <c r="P117" s="86" t="str">
        <f t="shared" si="10"/>
        <v/>
      </c>
      <c r="Q117" s="67">
        <f t="shared" si="11"/>
        <v>6522.2531000714353</v>
      </c>
    </row>
    <row r="118" spans="1:17" ht="12.75" customHeight="1" x14ac:dyDescent="0.35">
      <c r="A118" s="87">
        <v>10</v>
      </c>
      <c r="B118" s="80" t="s">
        <v>115</v>
      </c>
      <c r="C118" s="81">
        <f>Premissas!$C$78+0.3333333333*(Premissas!$C$79-Premissas!$C$78)</f>
        <v>0.81100000000060002</v>
      </c>
      <c r="D118" s="82">
        <f>(1+Premissas!$C$26)^(9)</f>
        <v>1.9990046271044331</v>
      </c>
      <c r="E118" s="83">
        <f>Dimensionador!$C$22*(Premissas!$C$78+0.3333333333*(Premissas!$C$79-Premissas!$C$78))*Premissas!$C$21*(1+Premissas!$C$26)^(9)</f>
        <v>30081.730748213915</v>
      </c>
      <c r="F118" s="83">
        <f>Dimensionador!$C$7*Premissas!$C$13*(Premissas!$C$78+0.3333333333*(Premissas!$C$79-Premissas!$C$78))*Premissas!$C$20*(1+Premissas!$C$26)^(9)</f>
        <v>8146.2343804971824</v>
      </c>
      <c r="G118" s="84">
        <f>Dimensionador!$C$7*Premissas!$C$25*(1+Premissas!$C$27)^(9)/12</f>
        <v>2392.0841703536148</v>
      </c>
      <c r="H118" s="85">
        <f>Premissas!$C$56*(1-Premissas!$C$32)^(9)</f>
        <v>52783.027654931502</v>
      </c>
      <c r="I118" s="85">
        <f>MIN(H118,Dimensionador!$C$7*Premissas!$C$13*(Premissas!$C$78+0.3333333333*(Premissas!$C$79-Premissas!$C$78)))</f>
        <v>6510.2120174299662</v>
      </c>
      <c r="J118" s="85">
        <f t="shared" si="6"/>
        <v>46272.815637501539</v>
      </c>
      <c r="K118" s="83">
        <f>Premissas!$C$35*(1+Premissas!$C$27)^(9)/12</f>
        <v>1291.1817964976897</v>
      </c>
      <c r="L118" s="83">
        <f>E118-F118+(I118+J118)*Premissas!$C$20*(1+Premissas!$C$26)^(9)</f>
        <v>87982.948192347278</v>
      </c>
      <c r="M118" s="83">
        <f t="shared" si="7"/>
        <v>84299.68222549597</v>
      </c>
      <c r="N118" s="83">
        <f t="shared" si="8"/>
        <v>4558172.477249709</v>
      </c>
      <c r="O118" s="83">
        <f t="shared" si="9"/>
        <v>6845672.477249709</v>
      </c>
      <c r="P118" s="86" t="str">
        <f t="shared" si="10"/>
        <v/>
      </c>
      <c r="Q118" s="67">
        <f t="shared" si="11"/>
        <v>6510.2120174299662</v>
      </c>
    </row>
    <row r="119" spans="1:17" ht="12.75" customHeight="1" x14ac:dyDescent="0.35">
      <c r="A119" s="87">
        <v>10</v>
      </c>
      <c r="B119" s="80" t="s">
        <v>116</v>
      </c>
      <c r="C119" s="81">
        <f>Premissas!$C$78+0.4166666667*(Premissas!$C$79-Premissas!$C$78)</f>
        <v>0.80949999999940003</v>
      </c>
      <c r="D119" s="82">
        <f>(1+Premissas!$C$26)^(9)</f>
        <v>1.9990046271044331</v>
      </c>
      <c r="E119" s="83">
        <f>Dimensionador!$C$22*(Premissas!$C$78+0.4166666667*(Premissas!$C$79-Premissas!$C$78))*Premissas!$C$21*(1+Premissas!$C$26)^(9)</f>
        <v>30026.092528536497</v>
      </c>
      <c r="F119" s="83">
        <f>Dimensionador!$C$7*Premissas!$C$13*(Premissas!$C$78+0.4166666667*(Premissas!$C$79-Premissas!$C$78))*Premissas!$C$20*(1+Premissas!$C$26)^(9)</f>
        <v>8131.1673625187468</v>
      </c>
      <c r="G119" s="84">
        <f>Dimensionador!$C$7*Premissas!$C$25*(1+Premissas!$C$27)^(9)/12</f>
        <v>2392.0841703536148</v>
      </c>
      <c r="H119" s="85">
        <f>Premissas!$C$57*(1-Premissas!$C$32)^(9)</f>
        <v>51080.349343482099</v>
      </c>
      <c r="I119" s="85">
        <f>MIN(H119,Dimensionador!$C$7*Premissas!$C$13*(Premissas!$C$78+0.4166666667*(Premissas!$C$79-Premissas!$C$78)))</f>
        <v>6498.170934774048</v>
      </c>
      <c r="J119" s="85">
        <f t="shared" si="6"/>
        <v>44582.178408708052</v>
      </c>
      <c r="K119" s="83">
        <f>Premissas!$C$35*(1+Premissas!$C$27)^(9)/12</f>
        <v>1291.1817964976897</v>
      </c>
      <c r="L119" s="83">
        <f>E119-F119+(I119+J119)*Premissas!$C$20*(1+Premissas!$C$26)^(9)</f>
        <v>85811.814028563444</v>
      </c>
      <c r="M119" s="83">
        <f t="shared" si="7"/>
        <v>82128.548061712136</v>
      </c>
      <c r="N119" s="83">
        <f t="shared" si="8"/>
        <v>4640301.0253114207</v>
      </c>
      <c r="O119" s="83">
        <f t="shared" si="9"/>
        <v>6927801.0253114207</v>
      </c>
      <c r="P119" s="86" t="str">
        <f t="shared" si="10"/>
        <v/>
      </c>
      <c r="Q119" s="67">
        <f t="shared" si="11"/>
        <v>6498.170934774048</v>
      </c>
    </row>
    <row r="120" spans="1:17" ht="12.75" customHeight="1" x14ac:dyDescent="0.35">
      <c r="A120" s="87">
        <v>10</v>
      </c>
      <c r="B120" s="80" t="s">
        <v>117</v>
      </c>
      <c r="C120" s="81">
        <f>Premissas!$C$78+0.5*(Premissas!$C$79-Premissas!$C$78)</f>
        <v>0.80800000000000005</v>
      </c>
      <c r="D120" s="82">
        <f>(1+Premissas!$C$26)^(9)</f>
        <v>1.9990046271044331</v>
      </c>
      <c r="E120" s="83">
        <f>Dimensionador!$C$22*(Premissas!$C$78+0.5*(Premissas!$C$79-Premissas!$C$78))*Premissas!$C$21*(1+Premissas!$C$26)^(9)</f>
        <v>29970.454308925844</v>
      </c>
      <c r="F120" s="83">
        <f>Dimensionador!$C$7*Premissas!$C$13*(Premissas!$C$78+0.5*(Premissas!$C$79-Premissas!$C$78))*Premissas!$C$20*(1+Premissas!$C$26)^(9)</f>
        <v>8116.1003445583901</v>
      </c>
      <c r="G120" s="84">
        <f>Dimensionador!$C$7*Premissas!$C$25*(1+Premissas!$C$27)^(9)/12</f>
        <v>2392.0841703536148</v>
      </c>
      <c r="H120" s="85">
        <f>Premissas!$C$58*(1-Premissas!$C$32)^(9)</f>
        <v>52783.027654931502</v>
      </c>
      <c r="I120" s="85">
        <f>MIN(H120,Dimensionador!$C$7*Premissas!$C$13*(Premissas!$C$78+0.5*(Premissas!$C$79-Premissas!$C$78)))</f>
        <v>6486.1298521325789</v>
      </c>
      <c r="J120" s="85">
        <f t="shared" si="6"/>
        <v>46296.897802798921</v>
      </c>
      <c r="K120" s="83">
        <f>Premissas!$C$35*(1+Premissas!$C$27)^(9)/12</f>
        <v>1291.1817964976897</v>
      </c>
      <c r="L120" s="83">
        <f>E120-F120+(I120+J120)*Premissas!$C$20*(1+Premissas!$C$26)^(9)</f>
        <v>87901.805788997997</v>
      </c>
      <c r="M120" s="83">
        <f t="shared" si="7"/>
        <v>84218.539822146689</v>
      </c>
      <c r="N120" s="83">
        <f t="shared" si="8"/>
        <v>4724519.565133567</v>
      </c>
      <c r="O120" s="83">
        <f t="shared" si="9"/>
        <v>7012019.565133567</v>
      </c>
      <c r="P120" s="86" t="str">
        <f t="shared" si="10"/>
        <v/>
      </c>
      <c r="Q120" s="67">
        <f t="shared" si="11"/>
        <v>6486.1298521325789</v>
      </c>
    </row>
    <row r="121" spans="1:17" ht="12.75" customHeight="1" x14ac:dyDescent="0.35">
      <c r="A121" s="87">
        <v>10</v>
      </c>
      <c r="B121" s="80" t="s">
        <v>118</v>
      </c>
      <c r="C121" s="81">
        <f>Premissas!$C$78+0.5833333333*(Premissas!$C$79-Premissas!$C$78)</f>
        <v>0.80650000000059996</v>
      </c>
      <c r="D121" s="82">
        <f>(1+Premissas!$C$26)^(9)</f>
        <v>1.9990046271044331</v>
      </c>
      <c r="E121" s="83">
        <f>Dimensionador!$C$22*(Premissas!$C$78+0.5833333333*(Premissas!$C$79-Premissas!$C$78))*Premissas!$C$21*(1+Premissas!$C$26)^(9)</f>
        <v>29914.816089315194</v>
      </c>
      <c r="F121" s="83">
        <f>Dimensionador!$C$7*Premissas!$C$13*(Premissas!$C$78+0.5833333333*(Premissas!$C$79-Premissas!$C$78))*Premissas!$C$20*(1+Premissas!$C$26)^(9)</f>
        <v>8101.0333265980335</v>
      </c>
      <c r="G121" s="84">
        <f>Dimensionador!$C$7*Premissas!$C$25*(1+Premissas!$C$27)^(9)/12</f>
        <v>2392.0841703536148</v>
      </c>
      <c r="H121" s="85">
        <f>Premissas!$C$59*(1-Premissas!$C$32)^(9)</f>
        <v>52783.027654931502</v>
      </c>
      <c r="I121" s="85">
        <f>MIN(H121,Dimensionador!$C$7*Premissas!$C$13*(Premissas!$C$78+0.5833333333*(Premissas!$C$79-Premissas!$C$78)))</f>
        <v>6474.0887694911089</v>
      </c>
      <c r="J121" s="85">
        <f t="shared" si="6"/>
        <v>46308.938885440395</v>
      </c>
      <c r="K121" s="83">
        <f>Premissas!$C$35*(1+Premissas!$C$27)^(9)/12</f>
        <v>1291.1817964976897</v>
      </c>
      <c r="L121" s="83">
        <f>E121-F121+(I121+J121)*Premissas!$C$20*(1+Premissas!$C$26)^(9)</f>
        <v>87861.234587347717</v>
      </c>
      <c r="M121" s="83">
        <f t="shared" si="7"/>
        <v>84177.968620496409</v>
      </c>
      <c r="N121" s="83">
        <f t="shared" si="8"/>
        <v>4808697.5337540638</v>
      </c>
      <c r="O121" s="83">
        <f t="shared" si="9"/>
        <v>7096197.5337540638</v>
      </c>
      <c r="P121" s="86" t="str">
        <f t="shared" si="10"/>
        <v/>
      </c>
      <c r="Q121" s="67">
        <f t="shared" si="11"/>
        <v>6474.0887694911089</v>
      </c>
    </row>
    <row r="122" spans="1:17" ht="12.75" customHeight="1" x14ac:dyDescent="0.35">
      <c r="A122" s="87">
        <v>10</v>
      </c>
      <c r="B122" s="80" t="s">
        <v>119</v>
      </c>
      <c r="C122" s="81">
        <f>Premissas!$C$78+0.6666666667*(Premissas!$C$79-Premissas!$C$78)</f>
        <v>0.80499999999939997</v>
      </c>
      <c r="D122" s="82">
        <f>(1+Premissas!$C$26)^(9)</f>
        <v>1.9990046271044331</v>
      </c>
      <c r="E122" s="83">
        <f>Dimensionador!$C$22*(Premissas!$C$78+0.6666666667*(Premissas!$C$79-Premissas!$C$78))*Premissas!$C$21*(1+Premissas!$C$26)^(9)</f>
        <v>29859.177869637777</v>
      </c>
      <c r="F122" s="83">
        <f>Dimensionador!$C$7*Premissas!$C$13*(Premissas!$C$78+0.6666666667*(Premissas!$C$79-Premissas!$C$78))*Premissas!$C$20*(1+Premissas!$C$26)^(9)</f>
        <v>8085.9663086195969</v>
      </c>
      <c r="G122" s="84">
        <f>Dimensionador!$C$7*Premissas!$C$25*(1+Premissas!$C$27)^(9)/12</f>
        <v>2392.0841703536148</v>
      </c>
      <c r="H122" s="85">
        <f>Premissas!$C$60*(1-Premissas!$C$32)^(9)</f>
        <v>51080.349343482099</v>
      </c>
      <c r="I122" s="85">
        <f>MIN(H122,Dimensionador!$C$7*Premissas!$C$13*(Premissas!$C$78+0.6666666667*(Premissas!$C$79-Premissas!$C$78)))</f>
        <v>6462.0476868351907</v>
      </c>
      <c r="J122" s="85">
        <f t="shared" si="6"/>
        <v>44618.301656646909</v>
      </c>
      <c r="K122" s="83">
        <f>Premissas!$C$35*(1+Premissas!$C$27)^(9)/12</f>
        <v>1291.1817964976897</v>
      </c>
      <c r="L122" s="83">
        <f>E122-F122+(I122+J122)*Premissas!$C$20*(1+Premissas!$C$26)^(9)</f>
        <v>85690.100423563883</v>
      </c>
      <c r="M122" s="83">
        <f t="shared" si="7"/>
        <v>82006.834456712575</v>
      </c>
      <c r="N122" s="83">
        <f t="shared" si="8"/>
        <v>4890704.3682107767</v>
      </c>
      <c r="O122" s="83">
        <f t="shared" si="9"/>
        <v>7178204.3682107767</v>
      </c>
      <c r="P122" s="86" t="str">
        <f t="shared" si="10"/>
        <v/>
      </c>
      <c r="Q122" s="67">
        <f t="shared" si="11"/>
        <v>6462.0476868351907</v>
      </c>
    </row>
    <row r="123" spans="1:17" ht="12.75" customHeight="1" x14ac:dyDescent="0.35">
      <c r="A123" s="87">
        <v>10</v>
      </c>
      <c r="B123" s="80" t="s">
        <v>120</v>
      </c>
      <c r="C123" s="81">
        <f>Premissas!$C$78+0.75*(Premissas!$C$79-Premissas!$C$78)</f>
        <v>0.80349999999999999</v>
      </c>
      <c r="D123" s="82">
        <f>(1+Premissas!$C$26)^(9)</f>
        <v>1.9990046271044331</v>
      </c>
      <c r="E123" s="83">
        <f>Dimensionador!$C$22*(Premissas!$C$78+0.75*(Premissas!$C$79-Premissas!$C$78))*Premissas!$C$21*(1+Premissas!$C$26)^(9)</f>
        <v>29803.53965002712</v>
      </c>
      <c r="F123" s="83">
        <f>Dimensionador!$C$7*Premissas!$C$13*(Premissas!$C$78+0.75*(Premissas!$C$79-Premissas!$C$78))*Premissas!$C$20*(1+Premissas!$C$26)^(9)</f>
        <v>8070.8992906592403</v>
      </c>
      <c r="G123" s="84">
        <f>Dimensionador!$C$7*Premissas!$C$25*(1+Premissas!$C$27)^(9)/12</f>
        <v>2392.0841703536148</v>
      </c>
      <c r="H123" s="85">
        <f>Premissas!$C$61*(1-Premissas!$C$32)^(9)</f>
        <v>52783.027654931502</v>
      </c>
      <c r="I123" s="85">
        <f>MIN(H123,Dimensionador!$C$7*Premissas!$C$13*(Premissas!$C$78+0.75*(Premissas!$C$79-Premissas!$C$78)))</f>
        <v>6450.0066041937207</v>
      </c>
      <c r="J123" s="85">
        <f t="shared" si="6"/>
        <v>46333.021050737778</v>
      </c>
      <c r="K123" s="83">
        <f>Premissas!$C$35*(1+Premissas!$C$27)^(9)/12</f>
        <v>1291.1817964976897</v>
      </c>
      <c r="L123" s="83">
        <f>E123-F123+(I123+J123)*Premissas!$C$20*(1+Premissas!$C$26)^(9)</f>
        <v>87780.092183998437</v>
      </c>
      <c r="M123" s="83">
        <f t="shared" si="7"/>
        <v>84096.826217147129</v>
      </c>
      <c r="N123" s="83">
        <f t="shared" si="8"/>
        <v>4974801.1944279242</v>
      </c>
      <c r="O123" s="83">
        <f t="shared" si="9"/>
        <v>7262301.1944279242</v>
      </c>
      <c r="P123" s="86" t="str">
        <f t="shared" si="10"/>
        <v/>
      </c>
      <c r="Q123" s="67">
        <f t="shared" si="11"/>
        <v>6450.0066041937207</v>
      </c>
    </row>
    <row r="124" spans="1:17" ht="12.75" customHeight="1" x14ac:dyDescent="0.35">
      <c r="A124" s="87">
        <v>10</v>
      </c>
      <c r="B124" s="80" t="s">
        <v>121</v>
      </c>
      <c r="C124" s="81">
        <f>Premissas!$C$78+0.8333333333*(Premissas!$C$79-Premissas!$C$78)</f>
        <v>0.80200000000060001</v>
      </c>
      <c r="D124" s="82">
        <f>(1+Premissas!$C$26)^(9)</f>
        <v>1.9990046271044331</v>
      </c>
      <c r="E124" s="83">
        <f>Dimensionador!$C$22*(Premissas!$C$78+0.8333333333*(Premissas!$C$79-Premissas!$C$78))*Premissas!$C$21*(1+Premissas!$C$26)^(9)</f>
        <v>29747.901430416467</v>
      </c>
      <c r="F124" s="83">
        <f>Dimensionador!$C$7*Premissas!$C$13*(Premissas!$C$78+0.8333333333*(Premissas!$C$79-Premissas!$C$78))*Premissas!$C$20*(1+Premissas!$C$26)^(9)</f>
        <v>8055.8322726988836</v>
      </c>
      <c r="G124" s="84">
        <f>Dimensionador!$C$7*Premissas!$C$25*(1+Premissas!$C$27)^(9)/12</f>
        <v>2392.0841703536148</v>
      </c>
      <c r="H124" s="85">
        <f>Premissas!$C$62*(1-Premissas!$C$32)^(9)</f>
        <v>51080.349343482099</v>
      </c>
      <c r="I124" s="85">
        <f>MIN(H124,Dimensionador!$C$7*Premissas!$C$13*(Premissas!$C$78+0.8333333333*(Premissas!$C$79-Premissas!$C$78)))</f>
        <v>6437.9655215522516</v>
      </c>
      <c r="J124" s="85">
        <f t="shared" si="6"/>
        <v>44642.383821929849</v>
      </c>
      <c r="K124" s="83">
        <f>Premissas!$C$35*(1+Premissas!$C$27)^(9)/12</f>
        <v>1291.1817964976897</v>
      </c>
      <c r="L124" s="83">
        <f>E124-F124+(I124+J124)*Premissas!$C$20*(1+Premissas!$C$26)^(9)</f>
        <v>85608.958020263279</v>
      </c>
      <c r="M124" s="83">
        <f t="shared" si="7"/>
        <v>81925.692053411971</v>
      </c>
      <c r="N124" s="83">
        <f t="shared" si="8"/>
        <v>5056726.8864813363</v>
      </c>
      <c r="O124" s="83">
        <f t="shared" si="9"/>
        <v>7344226.8864813363</v>
      </c>
      <c r="P124" s="86" t="str">
        <f t="shared" si="10"/>
        <v/>
      </c>
      <c r="Q124" s="67">
        <f t="shared" si="11"/>
        <v>6437.9655215522516</v>
      </c>
    </row>
    <row r="125" spans="1:17" ht="12.75" customHeight="1" x14ac:dyDescent="0.35">
      <c r="A125" s="88">
        <v>10</v>
      </c>
      <c r="B125" s="89" t="s">
        <v>122</v>
      </c>
      <c r="C125" s="90">
        <f>Premissas!$C$78+0.9166666667*(Premissas!$C$79-Premissas!$C$78)</f>
        <v>0.80049999999940002</v>
      </c>
      <c r="D125" s="91">
        <f>(1+Premissas!$C$26)^(9)</f>
        <v>1.9990046271044331</v>
      </c>
      <c r="E125" s="92">
        <f>Dimensionador!$C$22*(Premissas!$C$78+0.9166666667*(Premissas!$C$79-Premissas!$C$78))*Premissas!$C$21*(1+Premissas!$C$26)^(9)</f>
        <v>29692.263210739053</v>
      </c>
      <c r="F125" s="92">
        <f>Dimensionador!$C$7*Premissas!$C$13*(Premissas!$C$78+0.9166666667*(Premissas!$C$79-Premissas!$C$78))*Premissas!$C$20*(1+Premissas!$C$26)^(9)</f>
        <v>8040.765254720448</v>
      </c>
      <c r="G125" s="93">
        <f>Dimensionador!$C$7*Premissas!$C$25*(1+Premissas!$C$27)^(9)/12</f>
        <v>2392.0841703536148</v>
      </c>
      <c r="H125" s="94">
        <f>Premissas!$C$63*(1-Premissas!$C$32)^(9)</f>
        <v>52783.027654931502</v>
      </c>
      <c r="I125" s="95">
        <f>MIN(H125,Dimensionador!$C$7*Premissas!$C$13*(Premissas!$C$78+0.9166666667*(Premissas!$C$79-Premissas!$C$78)))</f>
        <v>6425.9244388963334</v>
      </c>
      <c r="J125" s="94">
        <f t="shared" si="6"/>
        <v>46357.103216035168</v>
      </c>
      <c r="K125" s="96">
        <f>Premissas!$C$35*(1+Premissas!$C$27)^(9)/12</f>
        <v>1291.1817964976897</v>
      </c>
      <c r="L125" s="92">
        <f>E125-F125+(I125+J125)*Premissas!$C$20*(1+Premissas!$C$26)^(9)</f>
        <v>87698.949780649156</v>
      </c>
      <c r="M125" s="96">
        <f t="shared" si="7"/>
        <v>84015.683813797848</v>
      </c>
      <c r="N125" s="96">
        <f t="shared" si="8"/>
        <v>5140742.5702951346</v>
      </c>
      <c r="O125" s="96">
        <f t="shared" si="9"/>
        <v>7428242.5702951346</v>
      </c>
      <c r="P125" s="97" t="str">
        <f t="shared" si="10"/>
        <v/>
      </c>
      <c r="Q125" s="67">
        <f t="shared" si="11"/>
        <v>6425.9244388963334</v>
      </c>
    </row>
    <row r="126" spans="1:17" ht="12.75" customHeight="1" x14ac:dyDescent="0.35">
      <c r="A126" s="59">
        <v>11</v>
      </c>
      <c r="B126" s="60" t="s">
        <v>110</v>
      </c>
      <c r="C126" s="61">
        <f>Premissas!$C$79+0*(Premissas!$C$80-Premissas!$C$79)</f>
        <v>0.79900000000000004</v>
      </c>
      <c r="D126" s="62">
        <f>(1+Premissas!$C$26)^(10)</f>
        <v>2.1589249972727877</v>
      </c>
      <c r="E126" s="63">
        <f>Dimensionador!$C$22*(Premissas!$C$79+0*(Premissas!$C$80-Premissas!$C$79))*Premissas!$C$21*(1+Premissas!$C$26)^(10)</f>
        <v>32007.554990418677</v>
      </c>
      <c r="F126" s="63">
        <f>Dimensionador!$C$7*Premissas!$C$13*(Premissas!$C$79+0*(Premissas!$C$80-Premissas!$C$79))*Premissas!$C$20*(1+Premissas!$C$26)^(10)</f>
        <v>8667.7540957008987</v>
      </c>
      <c r="G126" s="64">
        <f>Dimensionador!$C$7*Premissas!$C$25*(1+Premissas!$C$27)^(10)/12</f>
        <v>2463.8466954642231</v>
      </c>
      <c r="H126" s="65">
        <f>Premissas!$C$52*(1-Premissas!$C$32)^(10)</f>
        <v>52519.112516656845</v>
      </c>
      <c r="I126" s="65">
        <f>MIN(H126,Dimensionador!$C$7*Premissas!$C$13*(Premissas!$C$79+0*(Premissas!$C$80-Premissas!$C$79)))</f>
        <v>6413.8833562548643</v>
      </c>
      <c r="J126" s="65">
        <f t="shared" si="6"/>
        <v>46105.229160401985</v>
      </c>
      <c r="K126" s="63">
        <f>Premissas!$C$35*(1+Premissas!$C$27)^(10)/12</f>
        <v>1329.9172503926204</v>
      </c>
      <c r="L126" s="63">
        <f>E126-F126+(I126+J126)*Premissas!$C$20*(1+Premissas!$C$26)^(10)</f>
        <v>94314.392625465785</v>
      </c>
      <c r="M126" s="63">
        <f t="shared" si="7"/>
        <v>90520.628679608941</v>
      </c>
      <c r="N126" s="63">
        <f t="shared" si="8"/>
        <v>5231263.1989747435</v>
      </c>
      <c r="O126" s="63">
        <f t="shared" si="9"/>
        <v>7518763.1989747435</v>
      </c>
      <c r="P126" s="66" t="str">
        <f t="shared" si="10"/>
        <v/>
      </c>
      <c r="Q126" s="67">
        <f t="shared" si="11"/>
        <v>6413.8833562548643</v>
      </c>
    </row>
    <row r="127" spans="1:17" ht="12.75" customHeight="1" x14ac:dyDescent="0.35">
      <c r="A127" s="68">
        <v>11</v>
      </c>
      <c r="B127" s="60" t="s">
        <v>112</v>
      </c>
      <c r="C127" s="61">
        <f>Premissas!$C$79+0.0833333333*(Premissas!$C$80-Premissas!$C$79)</f>
        <v>0.7976666666672001</v>
      </c>
      <c r="D127" s="62">
        <f>(1+Premissas!$C$26)^(10)</f>
        <v>2.1589249972727877</v>
      </c>
      <c r="E127" s="63">
        <f>Dimensionador!$C$22*(Premissas!$C$79+0.0833333333*(Premissas!$C$80-Premissas!$C$79))*Premissas!$C$21*(1+Premissas!$C$26)^(10)</f>
        <v>31954.142299592455</v>
      </c>
      <c r="F127" s="63">
        <f>Dimensionador!$C$7*Premissas!$C$13*(Premissas!$C$79+0.0833333333*(Premissas!$C$80-Premissas!$C$79))*Premissas!$C$20*(1+Premissas!$C$26)^(10)</f>
        <v>8653.2897584589573</v>
      </c>
      <c r="G127" s="64">
        <f>Dimensionador!$C$7*Premissas!$C$25*(1+Premissas!$C$27)^(10)/12</f>
        <v>2463.8466954642231</v>
      </c>
      <c r="H127" s="65">
        <f>Premissas!$C$53*(1-Premissas!$C$32)^(10)</f>
        <v>47436.617756980377</v>
      </c>
      <c r="I127" s="65">
        <f>MIN(H127,Dimensionador!$C$7*Premissas!$C$13*(Premissas!$C$79+0.0833333333*(Premissas!$C$80-Premissas!$C$79)))</f>
        <v>6403.1801716846694</v>
      </c>
      <c r="J127" s="65">
        <f t="shared" si="6"/>
        <v>41033.437585295709</v>
      </c>
      <c r="K127" s="63">
        <f>Premissas!$C$35*(1+Premissas!$C$27)^(10)/12</f>
        <v>1329.9172503926204</v>
      </c>
      <c r="L127" s="63">
        <f>E127-F127+(I127+J127)*Premissas!$C$20*(1+Premissas!$C$26)^(10)</f>
        <v>87406.935394712345</v>
      </c>
      <c r="M127" s="63">
        <f t="shared" si="7"/>
        <v>83613.171448855501</v>
      </c>
      <c r="N127" s="63">
        <f t="shared" si="8"/>
        <v>5314876.3704235991</v>
      </c>
      <c r="O127" s="63">
        <f t="shared" si="9"/>
        <v>7602376.3704235991</v>
      </c>
      <c r="P127" s="66" t="str">
        <f t="shared" si="10"/>
        <v/>
      </c>
      <c r="Q127" s="67">
        <f t="shared" si="11"/>
        <v>6403.1801716846694</v>
      </c>
    </row>
    <row r="128" spans="1:17" ht="12.75" customHeight="1" x14ac:dyDescent="0.35">
      <c r="A128" s="68">
        <v>11</v>
      </c>
      <c r="B128" s="60" t="s">
        <v>113</v>
      </c>
      <c r="C128" s="61">
        <f>Premissas!$C$79+0.1666666667*(Premissas!$C$80-Premissas!$C$79)</f>
        <v>0.79633333333279999</v>
      </c>
      <c r="D128" s="62">
        <f>(1+Premissas!$C$26)^(10)</f>
        <v>2.1589249972727877</v>
      </c>
      <c r="E128" s="63">
        <f>Dimensionador!$C$22*(Premissas!$C$79+0.1666666667*(Premissas!$C$80-Premissas!$C$79))*Premissas!$C$21*(1+Premissas!$C$26)^(10)</f>
        <v>31900.729608702128</v>
      </c>
      <c r="F128" s="63">
        <f>Dimensionador!$C$7*Premissas!$C$13*(Premissas!$C$79+0.1666666667*(Premissas!$C$80-Premissas!$C$79))*Premissas!$C$20*(1+Premissas!$C$26)^(10)</f>
        <v>8638.8254211996573</v>
      </c>
      <c r="G128" s="64">
        <f>Dimensionador!$C$7*Premissas!$C$25*(1+Premissas!$C$27)^(10)/12</f>
        <v>2463.8466954642231</v>
      </c>
      <c r="H128" s="65">
        <f>Premissas!$C$54*(1-Premissas!$C$32)^(10)</f>
        <v>52519.112516656845</v>
      </c>
      <c r="I128" s="65">
        <f>MIN(H128,Dimensionador!$C$7*Premissas!$C$13*(Premissas!$C$79+0.1666666667*(Premissas!$C$80-Premissas!$C$79)))</f>
        <v>6392.4769871016306</v>
      </c>
      <c r="J128" s="65">
        <f t="shared" si="6"/>
        <v>46126.635529555213</v>
      </c>
      <c r="K128" s="63">
        <f>Premissas!$C$35*(1+Premissas!$C$27)^(10)/12</f>
        <v>1329.9172503926204</v>
      </c>
      <c r="L128" s="63">
        <f>E128-F128+(I128+J128)*Premissas!$C$20*(1+Premissas!$C$26)^(10)</f>
        <v>94236.495918250468</v>
      </c>
      <c r="M128" s="63">
        <f t="shared" si="7"/>
        <v>90442.731972393623</v>
      </c>
      <c r="N128" s="63">
        <f t="shared" si="8"/>
        <v>5405319.1023959927</v>
      </c>
      <c r="O128" s="63">
        <f t="shared" si="9"/>
        <v>7692819.1023959927</v>
      </c>
      <c r="P128" s="66" t="str">
        <f t="shared" si="10"/>
        <v/>
      </c>
      <c r="Q128" s="67">
        <f t="shared" si="11"/>
        <v>6392.4769871016306</v>
      </c>
    </row>
    <row r="129" spans="1:17" ht="12.75" customHeight="1" x14ac:dyDescent="0.35">
      <c r="A129" s="68">
        <v>11</v>
      </c>
      <c r="B129" s="60" t="s">
        <v>114</v>
      </c>
      <c r="C129" s="61">
        <f>Premissas!$C$79+0.25*(Premissas!$C$80-Premissas!$C$79)</f>
        <v>0.79500000000000004</v>
      </c>
      <c r="D129" s="62">
        <f>(1+Premissas!$C$26)^(10)</f>
        <v>2.1589249972727877</v>
      </c>
      <c r="E129" s="63">
        <f>Dimensionador!$C$22*(Premissas!$C$79+0.25*(Premissas!$C$80-Premissas!$C$79))*Premissas!$C$21*(1+Premissas!$C$26)^(10)</f>
        <v>31847.316917875905</v>
      </c>
      <c r="F129" s="63">
        <f>Dimensionador!$C$7*Premissas!$C$13*(Premissas!$C$79+0.25*(Premissas!$C$80-Premissas!$C$79))*Premissas!$C$20*(1+Premissas!$C$26)^(10)</f>
        <v>8624.3610839577159</v>
      </c>
      <c r="G129" s="64">
        <f>Dimensionador!$C$7*Premissas!$C$25*(1+Premissas!$C$27)^(10)/12</f>
        <v>2463.8466954642231</v>
      </c>
      <c r="H129" s="65">
        <f>Premissas!$C$55*(1-Premissas!$C$32)^(10)</f>
        <v>50824.947596764687</v>
      </c>
      <c r="I129" s="65">
        <f>MIN(H129,Dimensionador!$C$7*Premissas!$C$13*(Premissas!$C$79+0.25*(Premissas!$C$80-Premissas!$C$79)))</f>
        <v>6381.7738025314356</v>
      </c>
      <c r="J129" s="65">
        <f t="shared" si="6"/>
        <v>44443.173794233255</v>
      </c>
      <c r="K129" s="63">
        <f>Premissas!$C$35*(1+Premissas!$C$27)^(10)/12</f>
        <v>1329.9172503926204</v>
      </c>
      <c r="L129" s="63">
        <f>E129-F129+(I129+J129)*Premissas!$C$20*(1+Premissas!$C$26)^(10)</f>
        <v>91908.044605609786</v>
      </c>
      <c r="M129" s="63">
        <f t="shared" si="7"/>
        <v>88114.280659752942</v>
      </c>
      <c r="N129" s="63">
        <f t="shared" si="8"/>
        <v>5493433.3830557456</v>
      </c>
      <c r="O129" s="63">
        <f t="shared" si="9"/>
        <v>7780933.3830557456</v>
      </c>
      <c r="P129" s="66" t="str">
        <f t="shared" si="10"/>
        <v/>
      </c>
      <c r="Q129" s="67">
        <f t="shared" si="11"/>
        <v>6381.7738025314356</v>
      </c>
    </row>
    <row r="130" spans="1:17" ht="12.75" customHeight="1" x14ac:dyDescent="0.35">
      <c r="A130" s="68">
        <v>11</v>
      </c>
      <c r="B130" s="60" t="s">
        <v>115</v>
      </c>
      <c r="C130" s="61">
        <f>Premissas!$C$79+0.3333333333*(Premissas!$C$80-Premissas!$C$79)</f>
        <v>0.79366666666720009</v>
      </c>
      <c r="D130" s="62">
        <f>(1+Premissas!$C$26)^(10)</f>
        <v>2.1589249972727877</v>
      </c>
      <c r="E130" s="63">
        <f>Dimensionador!$C$22*(Premissas!$C$79+0.3333333333*(Premissas!$C$80-Premissas!$C$79))*Premissas!$C$21*(1+Premissas!$C$26)^(10)</f>
        <v>31793.904227049679</v>
      </c>
      <c r="F130" s="63">
        <f>Dimensionador!$C$7*Premissas!$C$13*(Premissas!$C$79+0.3333333333*(Premissas!$C$80-Premissas!$C$79))*Premissas!$C$20*(1+Premissas!$C$26)^(10)</f>
        <v>8609.8967467157745</v>
      </c>
      <c r="G130" s="64">
        <f>Dimensionador!$C$7*Premissas!$C$25*(1+Premissas!$C$27)^(10)/12</f>
        <v>2463.8466954642231</v>
      </c>
      <c r="H130" s="65">
        <f>Premissas!$C$56*(1-Premissas!$C$32)^(10)</f>
        <v>52519.112516656845</v>
      </c>
      <c r="I130" s="65">
        <f>MIN(H130,Dimensionador!$C$7*Premissas!$C$13*(Premissas!$C$79+0.3333333333*(Premissas!$C$80-Premissas!$C$79)))</f>
        <v>6371.0706179612416</v>
      </c>
      <c r="J130" s="65">
        <f t="shared" si="6"/>
        <v>46148.041898695607</v>
      </c>
      <c r="K130" s="63">
        <f>Premissas!$C$35*(1+Premissas!$C$27)^(10)/12</f>
        <v>1329.9172503926204</v>
      </c>
      <c r="L130" s="63">
        <f>E130-F130+(I130+J130)*Premissas!$C$20*(1+Premissas!$C$26)^(10)</f>
        <v>94158.599211081906</v>
      </c>
      <c r="M130" s="63">
        <f t="shared" si="7"/>
        <v>90364.835265225061</v>
      </c>
      <c r="N130" s="63">
        <f t="shared" si="8"/>
        <v>5583798.2183209704</v>
      </c>
      <c r="O130" s="63">
        <f t="shared" si="9"/>
        <v>7871298.2183209704</v>
      </c>
      <c r="P130" s="66" t="str">
        <f t="shared" si="10"/>
        <v/>
      </c>
      <c r="Q130" s="67">
        <f t="shared" si="11"/>
        <v>6371.0706179612416</v>
      </c>
    </row>
    <row r="131" spans="1:17" ht="12.75" customHeight="1" x14ac:dyDescent="0.35">
      <c r="A131" s="68">
        <v>11</v>
      </c>
      <c r="B131" s="60" t="s">
        <v>116</v>
      </c>
      <c r="C131" s="61">
        <f>Premissas!$C$79+0.4166666667*(Premissas!$C$80-Premissas!$C$79)</f>
        <v>0.79233333333279998</v>
      </c>
      <c r="D131" s="62">
        <f>(1+Premissas!$C$26)^(10)</f>
        <v>2.1589249972727877</v>
      </c>
      <c r="E131" s="63">
        <f>Dimensionador!$C$22*(Premissas!$C$79+0.4166666667*(Premissas!$C$80-Premissas!$C$79))*Premissas!$C$21*(1+Premissas!$C$26)^(10)</f>
        <v>31740.491536159356</v>
      </c>
      <c r="F131" s="63">
        <f>Dimensionador!$C$7*Premissas!$C$13*(Premissas!$C$79+0.4166666667*(Premissas!$C$80-Premissas!$C$79))*Premissas!$C$20*(1+Premissas!$C$26)^(10)</f>
        <v>8595.4324094564745</v>
      </c>
      <c r="G131" s="64">
        <f>Dimensionador!$C$7*Premissas!$C$25*(1+Premissas!$C$27)^(10)/12</f>
        <v>2463.8466954642231</v>
      </c>
      <c r="H131" s="65">
        <f>Premissas!$C$57*(1-Premissas!$C$32)^(10)</f>
        <v>50824.947596764687</v>
      </c>
      <c r="I131" s="65">
        <f>MIN(H131,Dimensionador!$C$7*Premissas!$C$13*(Premissas!$C$79+0.4166666667*(Premissas!$C$80-Premissas!$C$79)))</f>
        <v>6360.3674333782019</v>
      </c>
      <c r="J131" s="65">
        <f t="shared" si="6"/>
        <v>44464.580163386483</v>
      </c>
      <c r="K131" s="63">
        <f>Premissas!$C$35*(1+Premissas!$C$27)^(10)/12</f>
        <v>1329.9172503926204</v>
      </c>
      <c r="L131" s="63">
        <f>E131-F131+(I131+J131)*Premissas!$C$20*(1+Premissas!$C$26)^(10)</f>
        <v>91830.147898394483</v>
      </c>
      <c r="M131" s="63">
        <f t="shared" si="7"/>
        <v>88036.383952537639</v>
      </c>
      <c r="N131" s="63">
        <f t="shared" si="8"/>
        <v>5671834.602273508</v>
      </c>
      <c r="O131" s="63">
        <f t="shared" si="9"/>
        <v>7959334.602273508</v>
      </c>
      <c r="P131" s="66" t="str">
        <f t="shared" si="10"/>
        <v/>
      </c>
      <c r="Q131" s="67">
        <f t="shared" si="11"/>
        <v>6360.3674333782019</v>
      </c>
    </row>
    <row r="132" spans="1:17" ht="12.75" customHeight="1" x14ac:dyDescent="0.35">
      <c r="A132" s="68">
        <v>11</v>
      </c>
      <c r="B132" s="60" t="s">
        <v>117</v>
      </c>
      <c r="C132" s="61">
        <f>Premissas!$C$79+0.5*(Premissas!$C$80-Premissas!$C$79)</f>
        <v>0.79100000000000004</v>
      </c>
      <c r="D132" s="62">
        <f>(1+Premissas!$C$26)^(10)</f>
        <v>2.1589249972727877</v>
      </c>
      <c r="E132" s="63">
        <f>Dimensionador!$C$22*(Premissas!$C$79+0.5*(Premissas!$C$80-Premissas!$C$79))*Premissas!$C$21*(1+Premissas!$C$26)^(10)</f>
        <v>31687.078845333133</v>
      </c>
      <c r="F132" s="63">
        <f>Dimensionador!$C$7*Premissas!$C$13*(Premissas!$C$79+0.5*(Premissas!$C$80-Premissas!$C$79))*Premissas!$C$20*(1+Premissas!$C$26)^(10)</f>
        <v>8580.9680722145313</v>
      </c>
      <c r="G132" s="64">
        <f>Dimensionador!$C$7*Premissas!$C$25*(1+Premissas!$C$27)^(10)/12</f>
        <v>2463.8466954642231</v>
      </c>
      <c r="H132" s="65">
        <f>Premissas!$C$58*(1-Premissas!$C$32)^(10)</f>
        <v>52519.112516656845</v>
      </c>
      <c r="I132" s="65">
        <f>MIN(H132,Dimensionador!$C$7*Premissas!$C$13*(Premissas!$C$79+0.5*(Premissas!$C$80-Premissas!$C$79)))</f>
        <v>6349.664248808007</v>
      </c>
      <c r="J132" s="65">
        <f t="shared" si="6"/>
        <v>46169.448267848842</v>
      </c>
      <c r="K132" s="63">
        <f>Premissas!$C$35*(1+Premissas!$C$27)^(10)/12</f>
        <v>1329.9172503926204</v>
      </c>
      <c r="L132" s="63">
        <f>E132-F132+(I132+J132)*Premissas!$C$20*(1+Premissas!$C$26)^(10)</f>
        <v>94080.702503866618</v>
      </c>
      <c r="M132" s="63">
        <f t="shared" si="7"/>
        <v>90286.938558009773</v>
      </c>
      <c r="N132" s="63">
        <f t="shared" si="8"/>
        <v>5762121.5408315174</v>
      </c>
      <c r="O132" s="63">
        <f t="shared" si="9"/>
        <v>8049621.5408315174</v>
      </c>
      <c r="P132" s="66" t="str">
        <f t="shared" si="10"/>
        <v/>
      </c>
      <c r="Q132" s="67">
        <f t="shared" si="11"/>
        <v>6349.664248808007</v>
      </c>
    </row>
    <row r="133" spans="1:17" ht="12.75" customHeight="1" x14ac:dyDescent="0.35">
      <c r="A133" s="68">
        <v>11</v>
      </c>
      <c r="B133" s="60" t="s">
        <v>118</v>
      </c>
      <c r="C133" s="61">
        <f>Premissas!$C$79+0.5833333333*(Premissas!$C$80-Premissas!$C$79)</f>
        <v>0.78966666666720009</v>
      </c>
      <c r="D133" s="62">
        <f>(1+Premissas!$C$26)^(10)</f>
        <v>2.1589249972727877</v>
      </c>
      <c r="E133" s="63">
        <f>Dimensionador!$C$22*(Premissas!$C$79+0.5833333333*(Premissas!$C$80-Premissas!$C$79))*Premissas!$C$21*(1+Premissas!$C$26)^(10)</f>
        <v>31633.666154506907</v>
      </c>
      <c r="F133" s="63">
        <f>Dimensionador!$C$7*Premissas!$C$13*(Premissas!$C$79+0.5833333333*(Premissas!$C$80-Premissas!$C$79))*Premissas!$C$20*(1+Premissas!$C$26)^(10)</f>
        <v>8566.5037349725899</v>
      </c>
      <c r="G133" s="64">
        <f>Dimensionador!$C$7*Premissas!$C$25*(1+Premissas!$C$27)^(10)/12</f>
        <v>2463.8466954642231</v>
      </c>
      <c r="H133" s="65">
        <f>Premissas!$C$59*(1-Premissas!$C$32)^(10)</f>
        <v>52519.112516656845</v>
      </c>
      <c r="I133" s="65">
        <f>MIN(H133,Dimensionador!$C$7*Premissas!$C$13*(Premissas!$C$79+0.5833333333*(Premissas!$C$80-Premissas!$C$79)))</f>
        <v>6338.9610642378129</v>
      </c>
      <c r="J133" s="65">
        <f t="shared" si="6"/>
        <v>46180.151452419035</v>
      </c>
      <c r="K133" s="63">
        <f>Premissas!$C$35*(1+Premissas!$C$27)^(10)/12</f>
        <v>1329.9172503926204</v>
      </c>
      <c r="L133" s="63">
        <f>E133-F133+(I133+J133)*Premissas!$C$20*(1+Premissas!$C$26)^(10)</f>
        <v>94041.754150282315</v>
      </c>
      <c r="M133" s="63">
        <f t="shared" si="7"/>
        <v>90247.99020442547</v>
      </c>
      <c r="N133" s="63">
        <f t="shared" si="8"/>
        <v>5852369.531035943</v>
      </c>
      <c r="O133" s="63">
        <f t="shared" si="9"/>
        <v>8139869.531035943</v>
      </c>
      <c r="P133" s="66" t="str">
        <f t="shared" si="10"/>
        <v/>
      </c>
      <c r="Q133" s="67">
        <f t="shared" si="11"/>
        <v>6338.9610642378129</v>
      </c>
    </row>
    <row r="134" spans="1:17" ht="12.75" customHeight="1" x14ac:dyDescent="0.35">
      <c r="A134" s="68">
        <v>11</v>
      </c>
      <c r="B134" s="60" t="s">
        <v>119</v>
      </c>
      <c r="C134" s="61">
        <f>Premissas!$C$79+0.6666666667*(Premissas!$C$80-Premissas!$C$79)</f>
        <v>0.78833333333279998</v>
      </c>
      <c r="D134" s="62">
        <f>(1+Premissas!$C$26)^(10)</f>
        <v>2.1589249972727877</v>
      </c>
      <c r="E134" s="63">
        <f>Dimensionador!$C$22*(Premissas!$C$79+0.6666666667*(Premissas!$C$80-Premissas!$C$79))*Premissas!$C$21*(1+Premissas!$C$26)^(10)</f>
        <v>31580.253463616584</v>
      </c>
      <c r="F134" s="63">
        <f>Dimensionador!$C$7*Premissas!$C$13*(Premissas!$C$79+0.6666666667*(Premissas!$C$80-Premissas!$C$79))*Premissas!$C$20*(1+Premissas!$C$26)^(10)</f>
        <v>8552.0393977132899</v>
      </c>
      <c r="G134" s="64">
        <f>Dimensionador!$C$7*Premissas!$C$25*(1+Premissas!$C$27)^(10)/12</f>
        <v>2463.8466954642231</v>
      </c>
      <c r="H134" s="65">
        <f>Premissas!$C$60*(1-Premissas!$C$32)^(10)</f>
        <v>50824.947596764687</v>
      </c>
      <c r="I134" s="65">
        <f>MIN(H134,Dimensionador!$C$7*Premissas!$C$13*(Premissas!$C$79+0.6666666667*(Premissas!$C$80-Premissas!$C$79)))</f>
        <v>6328.2578796547732</v>
      </c>
      <c r="J134" s="65">
        <f t="shared" ref="J134:J197" si="12">MAX(0,H134-I134)</f>
        <v>44496.689717109912</v>
      </c>
      <c r="K134" s="63">
        <f>Premissas!$C$35*(1+Premissas!$C$27)^(10)/12</f>
        <v>1329.9172503926204</v>
      </c>
      <c r="L134" s="63">
        <f>E134-F134+(I134+J134)*Premissas!$C$20*(1+Premissas!$C$26)^(10)</f>
        <v>91713.302837594907</v>
      </c>
      <c r="M134" s="63">
        <f t="shared" ref="M134:M197" si="13">L134-G134-K134</f>
        <v>87919.538891738062</v>
      </c>
      <c r="N134" s="63">
        <f t="shared" ref="N134:N197" si="14">N133+M134</f>
        <v>5940289.0699276812</v>
      </c>
      <c r="O134" s="63">
        <f t="shared" si="9"/>
        <v>8227789.0699276812</v>
      </c>
      <c r="P134" s="66" t="str">
        <f t="shared" si="10"/>
        <v/>
      </c>
      <c r="Q134" s="67">
        <f t="shared" si="11"/>
        <v>6328.2578796547732</v>
      </c>
    </row>
    <row r="135" spans="1:17" ht="12.75" customHeight="1" x14ac:dyDescent="0.35">
      <c r="A135" s="68">
        <v>11</v>
      </c>
      <c r="B135" s="60" t="s">
        <v>120</v>
      </c>
      <c r="C135" s="61">
        <f>Premissas!$C$79+0.75*(Premissas!$C$80-Premissas!$C$79)</f>
        <v>0.78700000000000003</v>
      </c>
      <c r="D135" s="62">
        <f>(1+Premissas!$C$26)^(10)</f>
        <v>2.1589249972727877</v>
      </c>
      <c r="E135" s="63">
        <f>Dimensionador!$C$22*(Premissas!$C$79+0.75*(Premissas!$C$80-Premissas!$C$79))*Premissas!$C$21*(1+Premissas!$C$26)^(10)</f>
        <v>31526.840772790365</v>
      </c>
      <c r="F135" s="63">
        <f>Dimensionador!$C$7*Premissas!$C$13*(Premissas!$C$79+0.75*(Premissas!$C$80-Premissas!$C$79))*Premissas!$C$20*(1+Premissas!$C$26)^(10)</f>
        <v>8537.5750604713485</v>
      </c>
      <c r="G135" s="64">
        <f>Dimensionador!$C$7*Premissas!$C$25*(1+Premissas!$C$27)^(10)/12</f>
        <v>2463.8466954642231</v>
      </c>
      <c r="H135" s="65">
        <f>Premissas!$C$61*(1-Premissas!$C$32)^(10)</f>
        <v>52519.112516656845</v>
      </c>
      <c r="I135" s="65">
        <f>MIN(H135,Dimensionador!$C$7*Premissas!$C$13*(Premissas!$C$79+0.75*(Premissas!$C$80-Premissas!$C$79)))</f>
        <v>6317.5546950845783</v>
      </c>
      <c r="J135" s="65">
        <f t="shared" si="12"/>
        <v>46201.557821572263</v>
      </c>
      <c r="K135" s="63">
        <f>Premissas!$C$35*(1+Premissas!$C$27)^(10)/12</f>
        <v>1329.9172503926204</v>
      </c>
      <c r="L135" s="63">
        <f>E135-F135+(I135+J135)*Premissas!$C$20*(1+Premissas!$C$26)^(10)</f>
        <v>93963.857443067012</v>
      </c>
      <c r="M135" s="63">
        <f t="shared" si="13"/>
        <v>90170.093497210168</v>
      </c>
      <c r="N135" s="63">
        <f t="shared" si="14"/>
        <v>6030459.1634248914</v>
      </c>
      <c r="O135" s="63">
        <f t="shared" ref="O135:O198" si="15">O134+M135</f>
        <v>8317959.1634248914</v>
      </c>
      <c r="P135" s="66" t="str">
        <f t="shared" ref="P135:P198" si="16">IF(AND(N135&gt;=0,N134&lt;0),"✅ PAYBACK","")</f>
        <v/>
      </c>
      <c r="Q135" s="67">
        <f t="shared" si="11"/>
        <v>6317.5546950845783</v>
      </c>
    </row>
    <row r="136" spans="1:17" ht="12.75" customHeight="1" x14ac:dyDescent="0.35">
      <c r="A136" s="68">
        <v>11</v>
      </c>
      <c r="B136" s="60" t="s">
        <v>121</v>
      </c>
      <c r="C136" s="61">
        <f>Premissas!$C$79+0.8333333333*(Premissas!$C$80-Premissas!$C$79)</f>
        <v>0.78566666666720009</v>
      </c>
      <c r="D136" s="62">
        <f>(1+Premissas!$C$26)^(10)</f>
        <v>2.1589249972727877</v>
      </c>
      <c r="E136" s="63">
        <f>Dimensionador!$C$22*(Premissas!$C$79+0.8333333333*(Premissas!$C$80-Premissas!$C$79))*Premissas!$C$21*(1+Premissas!$C$26)^(10)</f>
        <v>31473.428081964139</v>
      </c>
      <c r="F136" s="63">
        <f>Dimensionador!$C$7*Premissas!$C$13*(Premissas!$C$79+0.8333333333*(Premissas!$C$80-Premissas!$C$79))*Premissas!$C$20*(1+Premissas!$C$26)^(10)</f>
        <v>8523.1107232294071</v>
      </c>
      <c r="G136" s="64">
        <f>Dimensionador!$C$7*Premissas!$C$25*(1+Premissas!$C$27)^(10)/12</f>
        <v>2463.8466954642231</v>
      </c>
      <c r="H136" s="65">
        <f>Premissas!$C$62*(1-Premissas!$C$32)^(10)</f>
        <v>50824.947596764687</v>
      </c>
      <c r="I136" s="65">
        <f>MIN(H136,Dimensionador!$C$7*Premissas!$C$13*(Premissas!$C$79+0.8333333333*(Premissas!$C$80-Premissas!$C$79)))</f>
        <v>6306.8515105143842</v>
      </c>
      <c r="J136" s="65">
        <f t="shared" si="12"/>
        <v>44518.096086250305</v>
      </c>
      <c r="K136" s="63">
        <f>Premissas!$C$35*(1+Premissas!$C$27)^(10)/12</f>
        <v>1329.9172503926204</v>
      </c>
      <c r="L136" s="63">
        <f>E136-F136+(I136+J136)*Premissas!$C$20*(1+Premissas!$C$26)^(10)</f>
        <v>91635.40613042633</v>
      </c>
      <c r="M136" s="63">
        <f t="shared" si="13"/>
        <v>87841.642184569486</v>
      </c>
      <c r="N136" s="63">
        <f t="shared" si="14"/>
        <v>6118300.8056094609</v>
      </c>
      <c r="O136" s="63">
        <f t="shared" si="15"/>
        <v>8405800.8056094609</v>
      </c>
      <c r="P136" s="66" t="str">
        <f t="shared" si="16"/>
        <v/>
      </c>
      <c r="Q136" s="67">
        <f t="shared" si="11"/>
        <v>6306.8515105143842</v>
      </c>
    </row>
    <row r="137" spans="1:17" ht="12.75" customHeight="1" x14ac:dyDescent="0.35">
      <c r="A137" s="69">
        <v>11</v>
      </c>
      <c r="B137" s="70" t="s">
        <v>122</v>
      </c>
      <c r="C137" s="71">
        <f>Premissas!$C$79+0.9166666667*(Premissas!$C$80-Premissas!$C$79)</f>
        <v>0.78433333333279998</v>
      </c>
      <c r="D137" s="72">
        <f>(1+Premissas!$C$26)^(10)</f>
        <v>2.1589249972727877</v>
      </c>
      <c r="E137" s="73">
        <f>Dimensionador!$C$22*(Premissas!$C$79+0.9166666667*(Premissas!$C$80-Premissas!$C$79))*Premissas!$C$21*(1+Premissas!$C$26)^(10)</f>
        <v>31420.015391073812</v>
      </c>
      <c r="F137" s="73">
        <f>Dimensionador!$C$7*Premissas!$C$13*(Premissas!$C$79+0.9166666667*(Premissas!$C$80-Premissas!$C$79))*Premissas!$C$20*(1+Premissas!$C$26)^(10)</f>
        <v>8508.6463859701071</v>
      </c>
      <c r="G137" s="74">
        <f>Dimensionador!$C$7*Premissas!$C$25*(1+Premissas!$C$27)^(10)/12</f>
        <v>2463.8466954642231</v>
      </c>
      <c r="H137" s="75">
        <f>Premissas!$C$63*(1-Premissas!$C$32)^(10)</f>
        <v>52519.112516656845</v>
      </c>
      <c r="I137" s="76">
        <f>MIN(H137,Dimensionador!$C$7*Premissas!$C$13*(Premissas!$C$79+0.9166666667*(Premissas!$C$80-Premissas!$C$79)))</f>
        <v>6296.1483259313445</v>
      </c>
      <c r="J137" s="75">
        <f t="shared" si="12"/>
        <v>46222.964190725499</v>
      </c>
      <c r="K137" s="77">
        <f>Premissas!$C$35*(1+Premissas!$C$27)^(10)/12</f>
        <v>1329.9172503926204</v>
      </c>
      <c r="L137" s="73">
        <f>E137-F137+(I137+J137)*Premissas!$C$20*(1+Premissas!$C$26)^(10)</f>
        <v>93885.960735851695</v>
      </c>
      <c r="M137" s="77">
        <f t="shared" si="13"/>
        <v>90092.19678999485</v>
      </c>
      <c r="N137" s="77">
        <f t="shared" si="14"/>
        <v>6208393.0023994558</v>
      </c>
      <c r="O137" s="77">
        <f t="shared" si="15"/>
        <v>8495893.0023994558</v>
      </c>
      <c r="P137" s="78" t="str">
        <f t="shared" si="16"/>
        <v/>
      </c>
      <c r="Q137" s="67">
        <f t="shared" si="11"/>
        <v>6296.1483259313445</v>
      </c>
    </row>
    <row r="138" spans="1:17" ht="12.75" customHeight="1" x14ac:dyDescent="0.35">
      <c r="A138" s="79">
        <v>12</v>
      </c>
      <c r="B138" s="80" t="s">
        <v>110</v>
      </c>
      <c r="C138" s="81">
        <f>Premissas!$C$80+0*(Premissas!$C$81-Premissas!$C$80)</f>
        <v>0.78300000000000003</v>
      </c>
      <c r="D138" s="82">
        <f>(1+Premissas!$C$26)^(11)</f>
        <v>2.3316389970546108</v>
      </c>
      <c r="E138" s="83">
        <f>Dimensionador!$C$22*(Premissas!$C$80+0*(Premissas!$C$81-Premissas!$C$80))*Premissas!$C$21*(1+Premissas!$C$26)^(11)</f>
        <v>33875.930916267396</v>
      </c>
      <c r="F138" s="83">
        <f>Dimensionador!$C$7*Premissas!$C$13*(Premissas!$C$80+0*(Premissas!$C$81-Premissas!$C$80))*Premissas!$C$20*(1+Premissas!$C$26)^(11)</f>
        <v>9173.7166126264165</v>
      </c>
      <c r="G138" s="84">
        <f>Dimensionador!$C$7*Premissas!$C$25*(1+Premissas!$C$27)^(11)/12</f>
        <v>2537.7620963281502</v>
      </c>
      <c r="H138" s="85">
        <f>Premissas!$C$52*(1-Premissas!$C$32)^(11)</f>
        <v>52256.516954073559</v>
      </c>
      <c r="I138" s="85">
        <f>MIN(H138,Dimensionador!$C$7*Premissas!$C$13*(Premissas!$C$80+0*(Premissas!$C$81-Premissas!$C$80)))</f>
        <v>6285.4451413611496</v>
      </c>
      <c r="J138" s="85">
        <f t="shared" si="12"/>
        <v>45971.071812712413</v>
      </c>
      <c r="K138" s="83">
        <f>Premissas!$C$35*(1+Premissas!$C$27)^(11)/12</f>
        <v>1369.8147679043993</v>
      </c>
      <c r="L138" s="83">
        <f>E138-F138+(I138+J138)*Premissas!$C$20*(1+Premissas!$C$26)^(11)</f>
        <v>100971.51057750279</v>
      </c>
      <c r="M138" s="83">
        <f t="shared" si="13"/>
        <v>97063.933713270235</v>
      </c>
      <c r="N138" s="83">
        <f t="shared" si="14"/>
        <v>6305456.9361127261</v>
      </c>
      <c r="O138" s="83">
        <f t="shared" si="15"/>
        <v>8592956.9361127261</v>
      </c>
      <c r="P138" s="86" t="str">
        <f t="shared" si="16"/>
        <v/>
      </c>
      <c r="Q138" s="67">
        <f t="shared" si="11"/>
        <v>6285.4451413611496</v>
      </c>
    </row>
    <row r="139" spans="1:17" ht="12.75" customHeight="1" x14ac:dyDescent="0.35">
      <c r="A139" s="87">
        <v>12</v>
      </c>
      <c r="B139" s="80" t="s">
        <v>112</v>
      </c>
      <c r="C139" s="81">
        <f>Premissas!$C$80+0.0833333333*(Premissas!$C$81-Premissas!$C$80)</f>
        <v>0.78133333333400001</v>
      </c>
      <c r="D139" s="82">
        <f>(1+Premissas!$C$26)^(11)</f>
        <v>2.3316389970546108</v>
      </c>
      <c r="E139" s="83">
        <f>Dimensionador!$C$22*(Premissas!$C$80+0.0833333333*(Premissas!$C$81-Premissas!$C$80))*Premissas!$C$21*(1+Premissas!$C$26)^(11)</f>
        <v>33803.823783651991</v>
      </c>
      <c r="F139" s="83">
        <f>Dimensionador!$C$7*Premissas!$C$13*(Premissas!$C$80+0.0833333333*(Premissas!$C$81-Premissas!$C$80))*Premissas!$C$20*(1+Premissas!$C$26)^(11)</f>
        <v>9154.1897573497972</v>
      </c>
      <c r="G139" s="84">
        <f>Dimensionador!$C$7*Premissas!$C$25*(1+Premissas!$C$27)^(11)/12</f>
        <v>2537.7620963281502</v>
      </c>
      <c r="H139" s="85">
        <f>Premissas!$C$53*(1-Premissas!$C$32)^(11)</f>
        <v>47199.43466819547</v>
      </c>
      <c r="I139" s="85">
        <f>MIN(H139,Dimensionador!$C$7*Premissas!$C$13*(Premissas!$C$80+0.0833333333*(Premissas!$C$81-Premissas!$C$80)))</f>
        <v>6272.0661606484064</v>
      </c>
      <c r="J139" s="85">
        <f t="shared" si="12"/>
        <v>40927.368507547064</v>
      </c>
      <c r="K139" s="83">
        <f>Premissas!$C$35*(1+Premissas!$C$27)^(11)/12</f>
        <v>1369.8147679043993</v>
      </c>
      <c r="L139" s="83">
        <f>E139-F139+(I139+J139)*Premissas!$C$20*(1+Premissas!$C$26)^(11)</f>
        <v>93538.030660757999</v>
      </c>
      <c r="M139" s="83">
        <f t="shared" si="13"/>
        <v>89630.453796525442</v>
      </c>
      <c r="N139" s="83">
        <f t="shared" si="14"/>
        <v>6395087.3899092516</v>
      </c>
      <c r="O139" s="83">
        <f t="shared" si="15"/>
        <v>8682587.3899092507</v>
      </c>
      <c r="P139" s="86" t="str">
        <f t="shared" si="16"/>
        <v/>
      </c>
      <c r="Q139" s="67">
        <f t="shared" si="11"/>
        <v>6272.0661606484064</v>
      </c>
    </row>
    <row r="140" spans="1:17" ht="12.75" customHeight="1" x14ac:dyDescent="0.35">
      <c r="A140" s="87">
        <v>12</v>
      </c>
      <c r="B140" s="80" t="s">
        <v>113</v>
      </c>
      <c r="C140" s="81">
        <f>Premissas!$C$80+0.1666666667*(Premissas!$C$81-Premissas!$C$80)</f>
        <v>0.77966666666600004</v>
      </c>
      <c r="D140" s="82">
        <f>(1+Premissas!$C$26)^(11)</f>
        <v>2.3316389970546108</v>
      </c>
      <c r="E140" s="83">
        <f>Dimensionador!$C$22*(Premissas!$C$80+0.1666666667*(Premissas!$C$81-Premissas!$C$80))*Premissas!$C$21*(1+Premissas!$C$26)^(11)</f>
        <v>33731.71665095006</v>
      </c>
      <c r="F140" s="83">
        <f>Dimensionador!$C$7*Premissas!$C$13*(Premissas!$C$80+0.1666666667*(Premissas!$C$81-Premissas!$C$80))*Premissas!$C$20*(1+Premissas!$C$26)^(11)</f>
        <v>9134.6629020497421</v>
      </c>
      <c r="G140" s="84">
        <f>Dimensionador!$C$7*Premissas!$C$25*(1+Premissas!$C$27)^(11)/12</f>
        <v>2537.7620963281502</v>
      </c>
      <c r="H140" s="85">
        <f>Premissas!$C$54*(1-Premissas!$C$32)^(11)</f>
        <v>52256.516954073559</v>
      </c>
      <c r="I140" s="85">
        <f>MIN(H140,Dimensionador!$C$7*Premissas!$C$13*(Premissas!$C$80+0.1666666667*(Premissas!$C$81-Premissas!$C$80)))</f>
        <v>6258.6871799196078</v>
      </c>
      <c r="J140" s="85">
        <f t="shared" si="12"/>
        <v>45997.82977415395</v>
      </c>
      <c r="K140" s="83">
        <f>Premissas!$C$35*(1+Premissas!$C$27)^(11)/12</f>
        <v>1369.8147679043993</v>
      </c>
      <c r="L140" s="83">
        <f>E140-F140+(I140+J140)*Premissas!$C$20*(1+Premissas!$C$26)^(11)</f>
        <v>100866.35002276211</v>
      </c>
      <c r="M140" s="83">
        <f t="shared" si="13"/>
        <v>96958.773158529555</v>
      </c>
      <c r="N140" s="83">
        <f t="shared" si="14"/>
        <v>6492046.1630677814</v>
      </c>
      <c r="O140" s="83">
        <f t="shared" si="15"/>
        <v>8779546.1630677804</v>
      </c>
      <c r="P140" s="86" t="str">
        <f t="shared" si="16"/>
        <v/>
      </c>
      <c r="Q140" s="67">
        <f t="shared" si="11"/>
        <v>6258.6871799196078</v>
      </c>
    </row>
    <row r="141" spans="1:17" ht="12.75" customHeight="1" x14ac:dyDescent="0.35">
      <c r="A141" s="87">
        <v>12</v>
      </c>
      <c r="B141" s="80" t="s">
        <v>114</v>
      </c>
      <c r="C141" s="81">
        <f>Premissas!$C$80+0.25*(Premissas!$C$81-Premissas!$C$80)</f>
        <v>0.77800000000000002</v>
      </c>
      <c r="D141" s="82">
        <f>(1+Premissas!$C$26)^(11)</f>
        <v>2.3316389970546108</v>
      </c>
      <c r="E141" s="83">
        <f>Dimensionador!$C$22*(Premissas!$C$80+0.25*(Premissas!$C$81-Premissas!$C$80))*Premissas!$C$21*(1+Premissas!$C$26)^(11)</f>
        <v>33659.609518334655</v>
      </c>
      <c r="F141" s="83">
        <f>Dimensionador!$C$7*Premissas!$C$13*(Premissas!$C$80+0.25*(Premissas!$C$81-Premissas!$C$80))*Premissas!$C$20*(1+Premissas!$C$26)^(11)</f>
        <v>9115.1360467731211</v>
      </c>
      <c r="G141" s="84">
        <f>Dimensionador!$C$7*Premissas!$C$25*(1+Premissas!$C$27)^(11)/12</f>
        <v>2537.7620963281502</v>
      </c>
      <c r="H141" s="85">
        <f>Premissas!$C$55*(1-Premissas!$C$32)^(11)</f>
        <v>50570.822858780863</v>
      </c>
      <c r="I141" s="85">
        <f>MIN(H141,Dimensionador!$C$7*Premissas!$C$13*(Premissas!$C$80+0.25*(Premissas!$C$81-Premissas!$C$80)))</f>
        <v>6245.3081992068637</v>
      </c>
      <c r="J141" s="85">
        <f t="shared" si="12"/>
        <v>44325.514659574001</v>
      </c>
      <c r="K141" s="83">
        <f>Premissas!$C$35*(1+Premissas!$C$27)^(11)/12</f>
        <v>1369.8147679043993</v>
      </c>
      <c r="L141" s="83">
        <f>E141-F141+(I141+J141)*Premissas!$C$20*(1+Premissas!$C$26)^(11)</f>
        <v>98353.46986562133</v>
      </c>
      <c r="M141" s="83">
        <f t="shared" si="13"/>
        <v>94445.893001388773</v>
      </c>
      <c r="N141" s="83">
        <f t="shared" si="14"/>
        <v>6586492.0560691701</v>
      </c>
      <c r="O141" s="83">
        <f t="shared" si="15"/>
        <v>8873992.0560691692</v>
      </c>
      <c r="P141" s="86" t="str">
        <f t="shared" si="16"/>
        <v/>
      </c>
      <c r="Q141" s="67">
        <f t="shared" si="11"/>
        <v>6245.3081992068637</v>
      </c>
    </row>
    <row r="142" spans="1:17" ht="12.75" customHeight="1" x14ac:dyDescent="0.35">
      <c r="A142" s="87">
        <v>12</v>
      </c>
      <c r="B142" s="80" t="s">
        <v>115</v>
      </c>
      <c r="C142" s="81">
        <f>Premissas!$C$80+0.3333333333*(Premissas!$C$81-Premissas!$C$80)</f>
        <v>0.77633333333400001</v>
      </c>
      <c r="D142" s="82">
        <f>(1+Premissas!$C$26)^(11)</f>
        <v>2.3316389970546108</v>
      </c>
      <c r="E142" s="83">
        <f>Dimensionador!$C$22*(Premissas!$C$80+0.3333333333*(Premissas!$C$81-Premissas!$C$80))*Premissas!$C$21*(1+Premissas!$C$26)^(11)</f>
        <v>33587.50238571925</v>
      </c>
      <c r="F142" s="83">
        <f>Dimensionador!$C$7*Premissas!$C$13*(Premissas!$C$80+0.3333333333*(Premissas!$C$81-Premissas!$C$80))*Premissas!$C$20*(1+Premissas!$C$26)^(11)</f>
        <v>9095.6091914964982</v>
      </c>
      <c r="G142" s="84">
        <f>Dimensionador!$C$7*Premissas!$C$25*(1+Premissas!$C$27)^(11)/12</f>
        <v>2537.7620963281502</v>
      </c>
      <c r="H142" s="85">
        <f>Premissas!$C$56*(1-Premissas!$C$32)^(11)</f>
        <v>52256.516954073559</v>
      </c>
      <c r="I142" s="85">
        <f>MIN(H142,Dimensionador!$C$7*Premissas!$C$13*(Premissas!$C$80+0.3333333333*(Premissas!$C$81-Premissas!$C$80)))</f>
        <v>6231.9292184941205</v>
      </c>
      <c r="J142" s="85">
        <f t="shared" si="12"/>
        <v>46024.587735579436</v>
      </c>
      <c r="K142" s="83">
        <f>Premissas!$C$35*(1+Premissas!$C$27)^(11)/12</f>
        <v>1369.8147679043993</v>
      </c>
      <c r="L142" s="83">
        <f>E142-F142+(I142+J142)*Premissas!$C$20*(1+Premissas!$C$26)^(11)</f>
        <v>100761.18946808454</v>
      </c>
      <c r="M142" s="83">
        <f t="shared" si="13"/>
        <v>96853.612603851987</v>
      </c>
      <c r="N142" s="83">
        <f t="shared" si="14"/>
        <v>6683345.6686730217</v>
      </c>
      <c r="O142" s="83">
        <f t="shared" si="15"/>
        <v>8970845.6686730217</v>
      </c>
      <c r="P142" s="86" t="str">
        <f t="shared" si="16"/>
        <v/>
      </c>
      <c r="Q142" s="67">
        <f t="shared" si="11"/>
        <v>6231.9292184941205</v>
      </c>
    </row>
    <row r="143" spans="1:17" ht="12.75" customHeight="1" x14ac:dyDescent="0.35">
      <c r="A143" s="87">
        <v>12</v>
      </c>
      <c r="B143" s="80" t="s">
        <v>116</v>
      </c>
      <c r="C143" s="81">
        <f>Premissas!$C$80+0.4166666667*(Premissas!$C$81-Premissas!$C$80)</f>
        <v>0.77466666666600004</v>
      </c>
      <c r="D143" s="82">
        <f>(1+Premissas!$C$26)^(11)</f>
        <v>2.3316389970546108</v>
      </c>
      <c r="E143" s="83">
        <f>Dimensionador!$C$22*(Premissas!$C$80+0.4166666667*(Premissas!$C$81-Premissas!$C$80))*Premissas!$C$21*(1+Premissas!$C$26)^(11)</f>
        <v>33515.395253017319</v>
      </c>
      <c r="F143" s="83">
        <f>Dimensionador!$C$7*Premissas!$C$13*(Premissas!$C$80+0.4166666667*(Premissas!$C$81-Premissas!$C$80))*Premissas!$C$20*(1+Premissas!$C$26)^(11)</f>
        <v>9076.0823361964449</v>
      </c>
      <c r="G143" s="84">
        <f>Dimensionador!$C$7*Premissas!$C$25*(1+Premissas!$C$27)^(11)/12</f>
        <v>2537.7620963281502</v>
      </c>
      <c r="H143" s="85">
        <f>Premissas!$C$57*(1-Premissas!$C$32)^(11)</f>
        <v>50570.822858780863</v>
      </c>
      <c r="I143" s="85">
        <f>MIN(H143,Dimensionador!$C$7*Premissas!$C$13*(Premissas!$C$80+0.4166666667*(Premissas!$C$81-Premissas!$C$80)))</f>
        <v>6218.550237765322</v>
      </c>
      <c r="J143" s="85">
        <f t="shared" si="12"/>
        <v>44352.272621015538</v>
      </c>
      <c r="K143" s="83">
        <f>Premissas!$C$35*(1+Premissas!$C$27)^(11)/12</f>
        <v>1369.8147679043993</v>
      </c>
      <c r="L143" s="83">
        <f>E143-F143+(I143+J143)*Premissas!$C$20*(1+Premissas!$C$26)^(11)</f>
        <v>98248.309310880664</v>
      </c>
      <c r="M143" s="83">
        <f t="shared" si="13"/>
        <v>94340.732446648108</v>
      </c>
      <c r="N143" s="83">
        <f t="shared" si="14"/>
        <v>6777686.4011196699</v>
      </c>
      <c r="O143" s="83">
        <f t="shared" si="15"/>
        <v>9065186.4011196699</v>
      </c>
      <c r="P143" s="86" t="str">
        <f t="shared" si="16"/>
        <v/>
      </c>
      <c r="Q143" s="67">
        <f t="shared" si="11"/>
        <v>6218.550237765322</v>
      </c>
    </row>
    <row r="144" spans="1:17" ht="12.75" customHeight="1" x14ac:dyDescent="0.35">
      <c r="A144" s="87">
        <v>12</v>
      </c>
      <c r="B144" s="80" t="s">
        <v>117</v>
      </c>
      <c r="C144" s="81">
        <f>Premissas!$C$80+0.5*(Premissas!$C$81-Premissas!$C$80)</f>
        <v>0.77300000000000002</v>
      </c>
      <c r="D144" s="82">
        <f>(1+Premissas!$C$26)^(11)</f>
        <v>2.3316389970546108</v>
      </c>
      <c r="E144" s="83">
        <f>Dimensionador!$C$22*(Premissas!$C$80+0.5*(Premissas!$C$81-Premissas!$C$80))*Premissas!$C$21*(1+Premissas!$C$26)^(11)</f>
        <v>33443.288120401907</v>
      </c>
      <c r="F144" s="83">
        <f>Dimensionador!$C$7*Premissas!$C$13*(Premissas!$C$80+0.5*(Premissas!$C$81-Premissas!$C$80))*Premissas!$C$20*(1+Premissas!$C$26)^(11)</f>
        <v>9056.555480919822</v>
      </c>
      <c r="G144" s="84">
        <f>Dimensionador!$C$7*Premissas!$C$25*(1+Premissas!$C$27)^(11)/12</f>
        <v>2537.7620963281502</v>
      </c>
      <c r="H144" s="85">
        <f>Premissas!$C$58*(1-Premissas!$C$32)^(11)</f>
        <v>52256.516954073559</v>
      </c>
      <c r="I144" s="85">
        <f>MIN(H144,Dimensionador!$C$7*Premissas!$C$13*(Premissas!$C$80+0.5*(Premissas!$C$81-Premissas!$C$80)))</f>
        <v>6205.1712570525779</v>
      </c>
      <c r="J144" s="85">
        <f t="shared" si="12"/>
        <v>46051.345697020981</v>
      </c>
      <c r="K144" s="83">
        <f>Premissas!$C$35*(1+Premissas!$C$27)^(11)/12</f>
        <v>1369.8147679043993</v>
      </c>
      <c r="L144" s="83">
        <f>E144-F144+(I144+J144)*Premissas!$C$20*(1+Premissas!$C$26)^(11)</f>
        <v>100656.02891334388</v>
      </c>
      <c r="M144" s="83">
        <f t="shared" si="13"/>
        <v>96748.452049111322</v>
      </c>
      <c r="N144" s="83">
        <f t="shared" si="14"/>
        <v>6874434.8531687809</v>
      </c>
      <c r="O144" s="83">
        <f t="shared" si="15"/>
        <v>9161934.8531687818</v>
      </c>
      <c r="P144" s="86" t="str">
        <f t="shared" si="16"/>
        <v/>
      </c>
      <c r="Q144" s="67">
        <f t="shared" si="11"/>
        <v>6205.1712570525779</v>
      </c>
    </row>
    <row r="145" spans="1:17" ht="12.75" customHeight="1" x14ac:dyDescent="0.35">
      <c r="A145" s="87">
        <v>12</v>
      </c>
      <c r="B145" s="80" t="s">
        <v>118</v>
      </c>
      <c r="C145" s="81">
        <f>Premissas!$C$80+0.5833333333*(Premissas!$C$81-Premissas!$C$80)</f>
        <v>0.771333333334</v>
      </c>
      <c r="D145" s="82">
        <f>(1+Premissas!$C$26)^(11)</f>
        <v>2.3316389970546108</v>
      </c>
      <c r="E145" s="83">
        <f>Dimensionador!$C$22*(Premissas!$C$80+0.5833333333*(Premissas!$C$81-Premissas!$C$80))*Premissas!$C$21*(1+Premissas!$C$26)^(11)</f>
        <v>33371.180987786502</v>
      </c>
      <c r="F145" s="83">
        <f>Dimensionador!$C$7*Premissas!$C$13*(Premissas!$C$80+0.5833333333*(Premissas!$C$81-Premissas!$C$80))*Premissas!$C$20*(1+Premissas!$C$26)^(11)</f>
        <v>9037.0286256432009</v>
      </c>
      <c r="G145" s="84">
        <f>Dimensionador!$C$7*Premissas!$C$25*(1+Premissas!$C$27)^(11)/12</f>
        <v>2537.7620963281502</v>
      </c>
      <c r="H145" s="85">
        <f>Premissas!$C$59*(1-Premissas!$C$32)^(11)</f>
        <v>52256.516954073559</v>
      </c>
      <c r="I145" s="85">
        <f>MIN(H145,Dimensionador!$C$7*Premissas!$C$13*(Premissas!$C$80+0.5833333333*(Premissas!$C$81-Premissas!$C$80)))</f>
        <v>6191.7922763398346</v>
      </c>
      <c r="J145" s="85">
        <f t="shared" si="12"/>
        <v>46064.724677733728</v>
      </c>
      <c r="K145" s="83">
        <f>Premissas!$C$35*(1+Premissas!$C$27)^(11)/12</f>
        <v>1369.8147679043993</v>
      </c>
      <c r="L145" s="83">
        <f>E145-F145+(I145+J145)*Premissas!$C$20*(1+Premissas!$C$26)^(11)</f>
        <v>100603.44863600511</v>
      </c>
      <c r="M145" s="83">
        <f t="shared" si="13"/>
        <v>96695.871771772552</v>
      </c>
      <c r="N145" s="83">
        <f t="shared" si="14"/>
        <v>6971130.7249405533</v>
      </c>
      <c r="O145" s="83">
        <f t="shared" si="15"/>
        <v>9258630.7249405552</v>
      </c>
      <c r="P145" s="86" t="str">
        <f t="shared" si="16"/>
        <v/>
      </c>
      <c r="Q145" s="67">
        <f t="shared" si="11"/>
        <v>6191.7922763398346</v>
      </c>
    </row>
    <row r="146" spans="1:17" ht="12.75" customHeight="1" x14ac:dyDescent="0.35">
      <c r="A146" s="87">
        <v>12</v>
      </c>
      <c r="B146" s="80" t="s">
        <v>119</v>
      </c>
      <c r="C146" s="81">
        <f>Premissas!$C$80+0.6666666667*(Premissas!$C$81-Premissas!$C$80)</f>
        <v>0.76966666666600003</v>
      </c>
      <c r="D146" s="82">
        <f>(1+Premissas!$C$26)^(11)</f>
        <v>2.3316389970546108</v>
      </c>
      <c r="E146" s="83">
        <f>Dimensionador!$C$22*(Premissas!$C$80+0.6666666667*(Premissas!$C$81-Premissas!$C$80))*Premissas!$C$21*(1+Premissas!$C$26)^(11)</f>
        <v>33299.073855084571</v>
      </c>
      <c r="F146" s="83">
        <f>Dimensionador!$C$7*Premissas!$C$13*(Premissas!$C$80+0.6666666667*(Premissas!$C$81-Premissas!$C$80))*Premissas!$C$20*(1+Premissas!$C$26)^(11)</f>
        <v>9017.5017703431477</v>
      </c>
      <c r="G146" s="84">
        <f>Dimensionador!$C$7*Premissas!$C$25*(1+Premissas!$C$27)^(11)/12</f>
        <v>2537.7620963281502</v>
      </c>
      <c r="H146" s="85">
        <f>Premissas!$C$60*(1-Premissas!$C$32)^(11)</f>
        <v>50570.822858780863</v>
      </c>
      <c r="I146" s="85">
        <f>MIN(H146,Dimensionador!$C$7*Premissas!$C$13*(Premissas!$C$80+0.6666666667*(Premissas!$C$81-Premissas!$C$80)))</f>
        <v>6178.4132956110361</v>
      </c>
      <c r="J146" s="85">
        <f t="shared" si="12"/>
        <v>44392.409563169829</v>
      </c>
      <c r="K146" s="83">
        <f>Premissas!$C$35*(1+Premissas!$C$27)^(11)/12</f>
        <v>1369.8147679043993</v>
      </c>
      <c r="L146" s="83">
        <f>E146-F146+(I146+J146)*Premissas!$C$20*(1+Premissas!$C$26)^(11)</f>
        <v>98090.568478801215</v>
      </c>
      <c r="M146" s="83">
        <f t="shared" si="13"/>
        <v>94182.991614568658</v>
      </c>
      <c r="N146" s="83">
        <f t="shared" si="14"/>
        <v>7065313.7165551223</v>
      </c>
      <c r="O146" s="83">
        <f t="shared" si="15"/>
        <v>9352813.7165551241</v>
      </c>
      <c r="P146" s="86" t="str">
        <f t="shared" si="16"/>
        <v/>
      </c>
      <c r="Q146" s="67">
        <f t="shared" si="11"/>
        <v>6178.4132956110361</v>
      </c>
    </row>
    <row r="147" spans="1:17" ht="12.75" customHeight="1" x14ac:dyDescent="0.35">
      <c r="A147" s="87">
        <v>12</v>
      </c>
      <c r="B147" s="80" t="s">
        <v>120</v>
      </c>
      <c r="C147" s="81">
        <f>Premissas!$C$80+0.75*(Premissas!$C$81-Premissas!$C$80)</f>
        <v>0.76800000000000002</v>
      </c>
      <c r="D147" s="82">
        <f>(1+Premissas!$C$26)^(11)</f>
        <v>2.3316389970546108</v>
      </c>
      <c r="E147" s="83">
        <f>Dimensionador!$C$22*(Premissas!$C$80+0.75*(Premissas!$C$81-Premissas!$C$80))*Premissas!$C$21*(1+Premissas!$C$26)^(11)</f>
        <v>33226.966722469166</v>
      </c>
      <c r="F147" s="83">
        <f>Dimensionador!$C$7*Premissas!$C$13*(Premissas!$C$80+0.75*(Premissas!$C$81-Premissas!$C$80))*Premissas!$C$20*(1+Premissas!$C$26)^(11)</f>
        <v>8997.9749150665248</v>
      </c>
      <c r="G147" s="84">
        <f>Dimensionador!$C$7*Premissas!$C$25*(1+Premissas!$C$27)^(11)/12</f>
        <v>2537.7620963281502</v>
      </c>
      <c r="H147" s="85">
        <f>Premissas!$C$61*(1-Premissas!$C$32)^(11)</f>
        <v>52256.516954073559</v>
      </c>
      <c r="I147" s="85">
        <f>MIN(H147,Dimensionador!$C$7*Premissas!$C$13*(Premissas!$C$80+0.75*(Premissas!$C$81-Premissas!$C$80)))</f>
        <v>6165.034314898292</v>
      </c>
      <c r="J147" s="85">
        <f t="shared" si="12"/>
        <v>46091.482639175265</v>
      </c>
      <c r="K147" s="83">
        <f>Premissas!$C$35*(1+Premissas!$C$27)^(11)/12</f>
        <v>1369.8147679043993</v>
      </c>
      <c r="L147" s="83">
        <f>E147-F147+(I147+J147)*Premissas!$C$20*(1+Premissas!$C$26)^(11)</f>
        <v>100498.28808126444</v>
      </c>
      <c r="M147" s="83">
        <f t="shared" si="13"/>
        <v>96590.711217031887</v>
      </c>
      <c r="N147" s="83">
        <f t="shared" si="14"/>
        <v>7161904.4277721541</v>
      </c>
      <c r="O147" s="83">
        <f t="shared" si="15"/>
        <v>9449404.4277721569</v>
      </c>
      <c r="P147" s="86" t="str">
        <f t="shared" si="16"/>
        <v/>
      </c>
      <c r="Q147" s="67">
        <f t="shared" si="11"/>
        <v>6165.034314898292</v>
      </c>
    </row>
    <row r="148" spans="1:17" ht="12.75" customHeight="1" x14ac:dyDescent="0.35">
      <c r="A148" s="87">
        <v>12</v>
      </c>
      <c r="B148" s="80" t="s">
        <v>121</v>
      </c>
      <c r="C148" s="81">
        <f>Premissas!$C$80+0.8333333333*(Premissas!$C$81-Premissas!$C$80)</f>
        <v>0.766333333334</v>
      </c>
      <c r="D148" s="82">
        <f>(1+Premissas!$C$26)^(11)</f>
        <v>2.3316389970546108</v>
      </c>
      <c r="E148" s="83">
        <f>Dimensionador!$C$22*(Premissas!$C$80+0.8333333333*(Premissas!$C$81-Premissas!$C$80))*Premissas!$C$21*(1+Premissas!$C$26)^(11)</f>
        <v>33154.859589853761</v>
      </c>
      <c r="F148" s="83">
        <f>Dimensionador!$C$7*Premissas!$C$13*(Premissas!$C$80+0.8333333333*(Premissas!$C$81-Premissas!$C$80))*Premissas!$C$20*(1+Premissas!$C$26)^(11)</f>
        <v>8978.4480597899037</v>
      </c>
      <c r="G148" s="84">
        <f>Dimensionador!$C$7*Premissas!$C$25*(1+Premissas!$C$27)^(11)/12</f>
        <v>2537.7620963281502</v>
      </c>
      <c r="H148" s="85">
        <f>Premissas!$C$62*(1-Premissas!$C$32)^(11)</f>
        <v>50570.822858780863</v>
      </c>
      <c r="I148" s="85">
        <f>MIN(H148,Dimensionador!$C$7*Premissas!$C$13*(Premissas!$C$80+0.8333333333*(Premissas!$C$81-Premissas!$C$80)))</f>
        <v>6151.6553341855488</v>
      </c>
      <c r="J148" s="85">
        <f t="shared" si="12"/>
        <v>44419.167524595316</v>
      </c>
      <c r="K148" s="83">
        <f>Premissas!$C$35*(1+Premissas!$C$27)^(11)/12</f>
        <v>1369.8147679043993</v>
      </c>
      <c r="L148" s="83">
        <f>E148-F148+(I148+J148)*Premissas!$C$20*(1+Premissas!$C$26)^(11)</f>
        <v>97985.407924123661</v>
      </c>
      <c r="M148" s="83">
        <f t="shared" si="13"/>
        <v>94077.831059891105</v>
      </c>
      <c r="N148" s="83">
        <f t="shared" si="14"/>
        <v>7255982.2588320449</v>
      </c>
      <c r="O148" s="83">
        <f t="shared" si="15"/>
        <v>9543482.2588320486</v>
      </c>
      <c r="P148" s="86" t="str">
        <f t="shared" si="16"/>
        <v/>
      </c>
      <c r="Q148" s="67">
        <f t="shared" si="11"/>
        <v>6151.6553341855488</v>
      </c>
    </row>
    <row r="149" spans="1:17" ht="12.75" customHeight="1" x14ac:dyDescent="0.35">
      <c r="A149" s="88">
        <v>12</v>
      </c>
      <c r="B149" s="89" t="s">
        <v>122</v>
      </c>
      <c r="C149" s="90">
        <f>Premissas!$C$80+0.9166666667*(Premissas!$C$81-Premissas!$C$80)</f>
        <v>0.76466666666600003</v>
      </c>
      <c r="D149" s="91">
        <f>(1+Premissas!$C$26)^(11)</f>
        <v>2.3316389970546108</v>
      </c>
      <c r="E149" s="92">
        <f>Dimensionador!$C$22*(Premissas!$C$80+0.9166666667*(Premissas!$C$81-Premissas!$C$80))*Premissas!$C$21*(1+Premissas!$C$26)^(11)</f>
        <v>33082.752457151837</v>
      </c>
      <c r="F149" s="92">
        <f>Dimensionador!$C$7*Premissas!$C$13*(Premissas!$C$80+0.9166666667*(Premissas!$C$81-Premissas!$C$80))*Premissas!$C$20*(1+Premissas!$C$26)^(11)</f>
        <v>8958.9212044898486</v>
      </c>
      <c r="G149" s="93">
        <f>Dimensionador!$C$7*Premissas!$C$25*(1+Premissas!$C$27)^(11)/12</f>
        <v>2537.7620963281502</v>
      </c>
      <c r="H149" s="94">
        <f>Premissas!$C$63*(1-Premissas!$C$32)^(11)</f>
        <v>52256.516954073559</v>
      </c>
      <c r="I149" s="95">
        <f>MIN(H149,Dimensionador!$C$7*Premissas!$C$13*(Premissas!$C$80+0.9166666667*(Premissas!$C$81-Premissas!$C$80)))</f>
        <v>6138.2763534567503</v>
      </c>
      <c r="J149" s="94">
        <f t="shared" si="12"/>
        <v>46118.240600616809</v>
      </c>
      <c r="K149" s="96">
        <f>Premissas!$C$35*(1+Premissas!$C$27)^(11)/12</f>
        <v>1369.8147679043993</v>
      </c>
      <c r="L149" s="92">
        <f>E149-F149+(I149+J149)*Premissas!$C$20*(1+Premissas!$C$26)^(11)</f>
        <v>100393.12752652378</v>
      </c>
      <c r="M149" s="96">
        <f t="shared" si="13"/>
        <v>96485.550662291222</v>
      </c>
      <c r="N149" s="96">
        <f t="shared" si="14"/>
        <v>7352467.8094943361</v>
      </c>
      <c r="O149" s="96">
        <f t="shared" si="15"/>
        <v>9639967.8094943389</v>
      </c>
      <c r="P149" s="97" t="str">
        <f t="shared" si="16"/>
        <v/>
      </c>
      <c r="Q149" s="67">
        <f t="shared" si="11"/>
        <v>6138.2763534567503</v>
      </c>
    </row>
    <row r="150" spans="1:17" ht="12.75" customHeight="1" x14ac:dyDescent="0.35">
      <c r="A150" s="59">
        <v>13</v>
      </c>
      <c r="B150" s="60" t="s">
        <v>110</v>
      </c>
      <c r="C150" s="61">
        <f>Premissas!$C$81+0*(Premissas!$C$82-Premissas!$C$81)</f>
        <v>0.76300000000000001</v>
      </c>
      <c r="D150" s="62">
        <f>(1+Premissas!$C$26)^(12)</f>
        <v>2.5181701168189798</v>
      </c>
      <c r="E150" s="63">
        <f>Dimensionador!$C$22*(Premissas!$C$81+0*(Premissas!$C$82-Premissas!$C$81))*Premissas!$C$21*(1+Premissas!$C$26)^(12)</f>
        <v>35651.49695049935</v>
      </c>
      <c r="F150" s="63">
        <f>Dimensionador!$C$7*Premissas!$C$13*(Premissas!$C$81+0*(Premissas!$C$82-Premissas!$C$81))*Premissas!$C$20*(1+Premissas!$C$26)^(12)</f>
        <v>9654.5458971502867</v>
      </c>
      <c r="G150" s="64">
        <f>Dimensionador!$C$7*Premissas!$C$25*(1+Premissas!$C$27)^(12)/12</f>
        <v>2613.8949592179943</v>
      </c>
      <c r="H150" s="65">
        <f>Premissas!$C$52*(1-Premissas!$C$32)^(12)</f>
        <v>51995.234369303194</v>
      </c>
      <c r="I150" s="65">
        <f>MIN(H150,Dimensionador!$C$7*Premissas!$C$13*(Premissas!$C$81+0*(Premissas!$C$82-Premissas!$C$81)))</f>
        <v>6124.897372744007</v>
      </c>
      <c r="J150" s="65">
        <f t="shared" si="12"/>
        <v>45870.336996559185</v>
      </c>
      <c r="K150" s="63">
        <f>Premissas!$C$35*(1+Premissas!$C$27)^(12)/12</f>
        <v>1410.9092109415308</v>
      </c>
      <c r="L150" s="63">
        <f>E150-F150+(I150+J150)*Premissas!$C$20*(1+Premissas!$C$26)^(12)</f>
        <v>107955.93682924096</v>
      </c>
      <c r="M150" s="63">
        <f t="shared" si="13"/>
        <v>103931.13265908143</v>
      </c>
      <c r="N150" s="63">
        <f t="shared" si="14"/>
        <v>7456398.9421534175</v>
      </c>
      <c r="O150" s="63">
        <f t="shared" si="15"/>
        <v>9743898.9421534203</v>
      </c>
      <c r="P150" s="66" t="str">
        <f t="shared" si="16"/>
        <v/>
      </c>
      <c r="Q150" s="67">
        <f t="shared" si="11"/>
        <v>6124.897372744007</v>
      </c>
    </row>
    <row r="151" spans="1:17" ht="12.75" customHeight="1" x14ac:dyDescent="0.35">
      <c r="A151" s="68">
        <v>13</v>
      </c>
      <c r="B151" s="60" t="s">
        <v>112</v>
      </c>
      <c r="C151" s="61">
        <f>Premissas!$C$81+0.0833333333*(Premissas!$C$82-Premissas!$C$81)</f>
        <v>0.76191666666710001</v>
      </c>
      <c r="D151" s="62">
        <f>(1+Premissas!$C$26)^(12)</f>
        <v>2.5181701168189798</v>
      </c>
      <c r="E151" s="63">
        <f>Dimensionador!$C$22*(Premissas!$C$81+0.0833333333*(Premissas!$C$82-Premissas!$C$81))*Premissas!$C$21*(1+Premissas!$C$26)^(12)</f>
        <v>35600.877743403325</v>
      </c>
      <c r="F151" s="63">
        <f>Dimensionador!$C$7*Premissas!$C$13*(Premissas!$C$81+0.0833333333*(Premissas!$C$82-Premissas!$C$81))*Premissas!$C$20*(1+Premissas!$C$26)^(12)</f>
        <v>9640.8380447460968</v>
      </c>
      <c r="G151" s="64">
        <f>Dimensionador!$C$7*Premissas!$C$25*(1+Premissas!$C$27)^(12)/12</f>
        <v>2613.8949592179943</v>
      </c>
      <c r="H151" s="65">
        <f>Premissas!$C$53*(1-Premissas!$C$32)^(12)</f>
        <v>46963.437494854501</v>
      </c>
      <c r="I151" s="65">
        <f>MIN(H151,Dimensionador!$C$7*Premissas!$C$13*(Premissas!$C$81+0.0833333333*(Premissas!$C$82-Premissas!$C$81)))</f>
        <v>6116.2010352807229</v>
      </c>
      <c r="J151" s="65">
        <f t="shared" si="12"/>
        <v>40847.236459573774</v>
      </c>
      <c r="K151" s="63">
        <f>Premissas!$C$35*(1+Premissas!$C$27)^(12)/12</f>
        <v>1410.9092109415308</v>
      </c>
      <c r="L151" s="63">
        <f>E151-F151+(I151+J151)*Premissas!$C$20*(1+Premissas!$C$26)^(12)</f>
        <v>99987.510722043473</v>
      </c>
      <c r="M151" s="63">
        <f t="shared" si="13"/>
        <v>95962.706551883937</v>
      </c>
      <c r="N151" s="63">
        <f t="shared" si="14"/>
        <v>7552361.6487053018</v>
      </c>
      <c r="O151" s="63">
        <f t="shared" si="15"/>
        <v>9839861.6487053037</v>
      </c>
      <c r="P151" s="66" t="str">
        <f t="shared" si="16"/>
        <v/>
      </c>
      <c r="Q151" s="67">
        <f t="shared" si="11"/>
        <v>6116.2010352807229</v>
      </c>
    </row>
    <row r="152" spans="1:17" ht="12.75" customHeight="1" x14ac:dyDescent="0.35">
      <c r="A152" s="68">
        <v>13</v>
      </c>
      <c r="B152" s="60" t="s">
        <v>113</v>
      </c>
      <c r="C152" s="61">
        <f>Premissas!$C$81+0.1666666667*(Premissas!$C$82-Premissas!$C$81)</f>
        <v>0.76083333333290004</v>
      </c>
      <c r="D152" s="62">
        <f>(1+Premissas!$C$26)^(12)</f>
        <v>2.5181701168189798</v>
      </c>
      <c r="E152" s="63">
        <f>Dimensionador!$C$22*(Premissas!$C$81+0.1666666667*(Premissas!$C$82-Premissas!$C$81))*Premissas!$C$21*(1+Premissas!$C$26)^(12)</f>
        <v>35550.258536246569</v>
      </c>
      <c r="F152" s="63">
        <f>Dimensionador!$C$7*Premissas!$C$13*(Premissas!$C$81+0.1666666667*(Premissas!$C$82-Premissas!$C$81))*Premissas!$C$20*(1+Premissas!$C$26)^(12)</f>
        <v>9627.1301923254614</v>
      </c>
      <c r="G152" s="64">
        <f>Dimensionador!$C$7*Premissas!$C$25*(1+Premissas!$C$27)^(12)/12</f>
        <v>2613.8949592179943</v>
      </c>
      <c r="H152" s="65">
        <f>Premissas!$C$54*(1-Premissas!$C$32)^(12)</f>
        <v>51995.234369303194</v>
      </c>
      <c r="I152" s="65">
        <f>MIN(H152,Dimensionador!$C$7*Premissas!$C$13*(Premissas!$C$81+0.1666666667*(Premissas!$C$82-Premissas!$C$81)))</f>
        <v>6107.504697807005</v>
      </c>
      <c r="J152" s="65">
        <f t="shared" si="12"/>
        <v>45887.729671496192</v>
      </c>
      <c r="K152" s="63">
        <f>Premissas!$C$35*(1+Premissas!$C$27)^(12)/12</f>
        <v>1410.9092109415308</v>
      </c>
      <c r="L152" s="63">
        <f>E152-F152+(I152+J152)*Premissas!$C$20*(1+Premissas!$C$26)^(12)</f>
        <v>107882.11411981301</v>
      </c>
      <c r="M152" s="63">
        <f t="shared" si="13"/>
        <v>103857.30994965347</v>
      </c>
      <c r="N152" s="63">
        <f t="shared" si="14"/>
        <v>7656218.958654955</v>
      </c>
      <c r="O152" s="63">
        <f t="shared" si="15"/>
        <v>9943718.9586549569</v>
      </c>
      <c r="P152" s="66" t="str">
        <f t="shared" si="16"/>
        <v/>
      </c>
      <c r="Q152" s="67">
        <f t="shared" si="11"/>
        <v>6107.504697807005</v>
      </c>
    </row>
    <row r="153" spans="1:17" ht="12.75" customHeight="1" x14ac:dyDescent="0.35">
      <c r="A153" s="68">
        <v>13</v>
      </c>
      <c r="B153" s="60" t="s">
        <v>114</v>
      </c>
      <c r="C153" s="61">
        <f>Premissas!$C$81+0.25*(Premissas!$C$82-Premissas!$C$81)</f>
        <v>0.75975000000000004</v>
      </c>
      <c r="D153" s="62">
        <f>(1+Premissas!$C$26)^(12)</f>
        <v>2.5181701168189798</v>
      </c>
      <c r="E153" s="63">
        <f>Dimensionador!$C$22*(Premissas!$C$81+0.25*(Premissas!$C$82-Premissas!$C$81))*Premissas!$C$21*(1+Premissas!$C$26)^(12)</f>
        <v>35499.639329150559</v>
      </c>
      <c r="F153" s="63">
        <f>Dimensionador!$C$7*Premissas!$C$13*(Premissas!$C$81+0.25*(Premissas!$C$82-Premissas!$C$81))*Premissas!$C$20*(1+Premissas!$C$26)^(12)</f>
        <v>9613.4223399212715</v>
      </c>
      <c r="G153" s="64">
        <f>Dimensionador!$C$7*Premissas!$C$25*(1+Premissas!$C$27)^(12)/12</f>
        <v>2613.8949592179943</v>
      </c>
      <c r="H153" s="65">
        <f>Premissas!$C$55*(1-Premissas!$C$32)^(12)</f>
        <v>50317.968744486963</v>
      </c>
      <c r="I153" s="65">
        <f>MIN(H153,Dimensionador!$C$7*Premissas!$C$13*(Premissas!$C$81+0.25*(Premissas!$C$82-Premissas!$C$81)))</f>
        <v>6098.8083603437208</v>
      </c>
      <c r="J153" s="65">
        <f t="shared" si="12"/>
        <v>44219.160384143244</v>
      </c>
      <c r="K153" s="63">
        <f>Premissas!$C$35*(1+Premissas!$C$27)^(12)/12</f>
        <v>1410.9092109415308</v>
      </c>
      <c r="L153" s="63">
        <f>E153-F153+(I153+J153)*Premissas!$C$20*(1+Premissas!$C$26)^(12)</f>
        <v>105201.36451428596</v>
      </c>
      <c r="M153" s="63">
        <f t="shared" si="13"/>
        <v>101176.56034412642</v>
      </c>
      <c r="N153" s="63">
        <f t="shared" si="14"/>
        <v>7757395.5189990811</v>
      </c>
      <c r="O153" s="63">
        <f t="shared" si="15"/>
        <v>10044895.518999083</v>
      </c>
      <c r="P153" s="66" t="str">
        <f t="shared" si="16"/>
        <v/>
      </c>
      <c r="Q153" s="67">
        <f t="shared" si="11"/>
        <v>6098.8083603437208</v>
      </c>
    </row>
    <row r="154" spans="1:17" ht="12.75" customHeight="1" x14ac:dyDescent="0.35">
      <c r="A154" s="68">
        <v>13</v>
      </c>
      <c r="B154" s="60" t="s">
        <v>115</v>
      </c>
      <c r="C154" s="61">
        <f>Premissas!$C$81+0.3333333333*(Premissas!$C$82-Premissas!$C$81)</f>
        <v>0.75866666666710003</v>
      </c>
      <c r="D154" s="62">
        <f>(1+Premissas!$C$26)^(12)</f>
        <v>2.5181701168189798</v>
      </c>
      <c r="E154" s="63">
        <f>Dimensionador!$C$22*(Premissas!$C$81+0.3333333333*(Premissas!$C$82-Premissas!$C$81))*Premissas!$C$21*(1+Premissas!$C$26)^(12)</f>
        <v>35449.02012205455</v>
      </c>
      <c r="F154" s="63">
        <f>Dimensionador!$C$7*Premissas!$C$13*(Premissas!$C$81+0.3333333333*(Premissas!$C$82-Premissas!$C$81))*Premissas!$C$20*(1+Premissas!$C$26)^(12)</f>
        <v>9599.7144875170834</v>
      </c>
      <c r="G154" s="64">
        <f>Dimensionador!$C$7*Premissas!$C$25*(1+Premissas!$C$27)^(12)/12</f>
        <v>2613.8949592179943</v>
      </c>
      <c r="H154" s="65">
        <f>Premissas!$C$56*(1-Premissas!$C$32)^(12)</f>
        <v>51995.234369303194</v>
      </c>
      <c r="I154" s="65">
        <f>MIN(H154,Dimensionador!$C$7*Premissas!$C$13*(Premissas!$C$81+0.3333333333*(Premissas!$C$82-Premissas!$C$81)))</f>
        <v>6090.1120228804375</v>
      </c>
      <c r="J154" s="65">
        <f t="shared" si="12"/>
        <v>45905.122346422759</v>
      </c>
      <c r="K154" s="63">
        <f>Premissas!$C$35*(1+Premissas!$C$27)^(12)/12</f>
        <v>1410.9092109415308</v>
      </c>
      <c r="L154" s="63">
        <f>E154-F154+(I154+J154)*Premissas!$C$20*(1+Premissas!$C$26)^(12)</f>
        <v>107808.29141042936</v>
      </c>
      <c r="M154" s="63">
        <f t="shared" si="13"/>
        <v>103783.48724026982</v>
      </c>
      <c r="N154" s="63">
        <f t="shared" si="14"/>
        <v>7861179.0062393509</v>
      </c>
      <c r="O154" s="63">
        <f t="shared" si="15"/>
        <v>10148679.006239353</v>
      </c>
      <c r="P154" s="66" t="str">
        <f t="shared" si="16"/>
        <v/>
      </c>
      <c r="Q154" s="67">
        <f t="shared" ref="Q154:Q217" si="17">I154</f>
        <v>6090.1120228804375</v>
      </c>
    </row>
    <row r="155" spans="1:17" ht="12.75" customHeight="1" x14ac:dyDescent="0.35">
      <c r="A155" s="68">
        <v>13</v>
      </c>
      <c r="B155" s="60" t="s">
        <v>116</v>
      </c>
      <c r="C155" s="61">
        <f>Premissas!$C$81+0.4166666667*(Premissas!$C$82-Premissas!$C$81)</f>
        <v>0.75758333333289996</v>
      </c>
      <c r="D155" s="62">
        <f>(1+Premissas!$C$26)^(12)</f>
        <v>2.5181701168189798</v>
      </c>
      <c r="E155" s="63">
        <f>Dimensionador!$C$22*(Premissas!$C$81+0.4166666667*(Premissas!$C$82-Premissas!$C$81))*Premissas!$C$21*(1+Premissas!$C$26)^(12)</f>
        <v>35398.400914897786</v>
      </c>
      <c r="F155" s="63">
        <f>Dimensionador!$C$7*Premissas!$C$13*(Premissas!$C$81+0.4166666667*(Premissas!$C$82-Premissas!$C$81))*Premissas!$C$20*(1+Premissas!$C$26)^(12)</f>
        <v>9586.0066350964426</v>
      </c>
      <c r="G155" s="64">
        <f>Dimensionador!$C$7*Premissas!$C$25*(1+Premissas!$C$27)^(12)/12</f>
        <v>2613.8949592179943</v>
      </c>
      <c r="H155" s="65">
        <f>Premissas!$C$57*(1-Premissas!$C$32)^(12)</f>
        <v>50317.968744486963</v>
      </c>
      <c r="I155" s="65">
        <f>MIN(H155,Dimensionador!$C$7*Premissas!$C$13*(Premissas!$C$81+0.4166666667*(Premissas!$C$82-Premissas!$C$81)))</f>
        <v>6081.4156854067178</v>
      </c>
      <c r="J155" s="65">
        <f t="shared" si="12"/>
        <v>44236.553059080245</v>
      </c>
      <c r="K155" s="63">
        <f>Premissas!$C$35*(1+Premissas!$C$27)^(12)/12</f>
        <v>1410.9092109415308</v>
      </c>
      <c r="L155" s="63">
        <f>E155-F155+(I155+J155)*Premissas!$C$20*(1+Premissas!$C$26)^(12)</f>
        <v>105127.54180485802</v>
      </c>
      <c r="M155" s="63">
        <f t="shared" si="13"/>
        <v>101102.73763469848</v>
      </c>
      <c r="N155" s="63">
        <f t="shared" si="14"/>
        <v>7962281.7438740497</v>
      </c>
      <c r="O155" s="63">
        <f t="shared" si="15"/>
        <v>10249781.743874051</v>
      </c>
      <c r="P155" s="66" t="str">
        <f t="shared" si="16"/>
        <v/>
      </c>
      <c r="Q155" s="67">
        <f t="shared" si="17"/>
        <v>6081.4156854067178</v>
      </c>
    </row>
    <row r="156" spans="1:17" ht="12.75" customHeight="1" x14ac:dyDescent="0.35">
      <c r="A156" s="68">
        <v>13</v>
      </c>
      <c r="B156" s="60" t="s">
        <v>117</v>
      </c>
      <c r="C156" s="61">
        <f>Premissas!$C$81+0.5*(Premissas!$C$82-Premissas!$C$81)</f>
        <v>0.75649999999999995</v>
      </c>
      <c r="D156" s="62">
        <f>(1+Premissas!$C$26)^(12)</f>
        <v>2.5181701168189798</v>
      </c>
      <c r="E156" s="63">
        <f>Dimensionador!$C$22*(Premissas!$C$81+0.5*(Premissas!$C$82-Premissas!$C$81))*Premissas!$C$21*(1+Premissas!$C$26)^(12)</f>
        <v>35347.781707801769</v>
      </c>
      <c r="F156" s="63">
        <f>Dimensionador!$C$7*Premissas!$C$13*(Premissas!$C$81+0.5*(Premissas!$C$82-Premissas!$C$81))*Premissas!$C$20*(1+Premissas!$C$26)^(12)</f>
        <v>9572.2987826922563</v>
      </c>
      <c r="G156" s="64">
        <f>Dimensionador!$C$7*Premissas!$C$25*(1+Premissas!$C$27)^(12)/12</f>
        <v>2613.8949592179943</v>
      </c>
      <c r="H156" s="65">
        <f>Premissas!$C$58*(1-Premissas!$C$32)^(12)</f>
        <v>51995.234369303194</v>
      </c>
      <c r="I156" s="65">
        <f>MIN(H156,Dimensionador!$C$7*Premissas!$C$13*(Premissas!$C$81+0.5*(Premissas!$C$82-Premissas!$C$81)))</f>
        <v>6072.7193479434345</v>
      </c>
      <c r="J156" s="65">
        <f t="shared" si="12"/>
        <v>45922.515021359759</v>
      </c>
      <c r="K156" s="63">
        <f>Premissas!$C$35*(1+Premissas!$C$27)^(12)/12</f>
        <v>1410.9092109415308</v>
      </c>
      <c r="L156" s="63">
        <f>E156-F156+(I156+J156)*Premissas!$C$20*(1+Premissas!$C$26)^(12)</f>
        <v>107734.4687010014</v>
      </c>
      <c r="M156" s="63">
        <f t="shared" si="13"/>
        <v>103709.66453084187</v>
      </c>
      <c r="N156" s="63">
        <f t="shared" si="14"/>
        <v>8065991.4084048914</v>
      </c>
      <c r="O156" s="63">
        <f t="shared" si="15"/>
        <v>10353491.408404892</v>
      </c>
      <c r="P156" s="66" t="str">
        <f t="shared" si="16"/>
        <v/>
      </c>
      <c r="Q156" s="67">
        <f t="shared" si="17"/>
        <v>6072.7193479434345</v>
      </c>
    </row>
    <row r="157" spans="1:17" ht="12.75" customHeight="1" x14ac:dyDescent="0.35">
      <c r="A157" s="68">
        <v>13</v>
      </c>
      <c r="B157" s="60" t="s">
        <v>118</v>
      </c>
      <c r="C157" s="61">
        <f>Premissas!$C$81+0.5833333333*(Premissas!$C$82-Premissas!$C$81)</f>
        <v>0.75541666666710006</v>
      </c>
      <c r="D157" s="62">
        <f>(1+Premissas!$C$26)^(12)</f>
        <v>2.5181701168189798</v>
      </c>
      <c r="E157" s="63">
        <f>Dimensionador!$C$22*(Premissas!$C$81+0.5833333333*(Premissas!$C$82-Premissas!$C$81))*Premissas!$C$21*(1+Premissas!$C$26)^(12)</f>
        <v>35297.162500705759</v>
      </c>
      <c r="F157" s="63">
        <f>Dimensionador!$C$7*Premissas!$C$13*(Premissas!$C$81+0.5833333333*(Premissas!$C$82-Premissas!$C$81))*Premissas!$C$20*(1+Premissas!$C$26)^(12)</f>
        <v>9558.5909302880682</v>
      </c>
      <c r="G157" s="64">
        <f>Dimensionador!$C$7*Premissas!$C$25*(1+Premissas!$C$27)^(12)/12</f>
        <v>2613.8949592179943</v>
      </c>
      <c r="H157" s="65">
        <f>Premissas!$C$59*(1-Premissas!$C$32)^(12)</f>
        <v>51995.234369303194</v>
      </c>
      <c r="I157" s="65">
        <f>MIN(H157,Dimensionador!$C$7*Premissas!$C$13*(Premissas!$C$81+0.5833333333*(Premissas!$C$82-Premissas!$C$81)))</f>
        <v>6064.0230104801522</v>
      </c>
      <c r="J157" s="65">
        <f t="shared" si="12"/>
        <v>45931.211358823042</v>
      </c>
      <c r="K157" s="63">
        <f>Premissas!$C$35*(1+Premissas!$C$27)^(12)/12</f>
        <v>1410.9092109415308</v>
      </c>
      <c r="L157" s="63">
        <f>E157-F157+(I157+J157)*Premissas!$C$20*(1+Premissas!$C$26)^(12)</f>
        <v>107697.55734630959</v>
      </c>
      <c r="M157" s="63">
        <f t="shared" si="13"/>
        <v>103672.75317615006</v>
      </c>
      <c r="N157" s="63">
        <f t="shared" si="14"/>
        <v>8169664.1615810413</v>
      </c>
      <c r="O157" s="63">
        <f t="shared" si="15"/>
        <v>10457164.161581043</v>
      </c>
      <c r="P157" s="66" t="str">
        <f t="shared" si="16"/>
        <v/>
      </c>
      <c r="Q157" s="67">
        <f t="shared" si="17"/>
        <v>6064.0230104801522</v>
      </c>
    </row>
    <row r="158" spans="1:17" ht="12.75" customHeight="1" x14ac:dyDescent="0.35">
      <c r="A158" s="68">
        <v>13</v>
      </c>
      <c r="B158" s="60" t="s">
        <v>119</v>
      </c>
      <c r="C158" s="61">
        <f>Premissas!$C$81+0.6666666667*(Premissas!$C$82-Premissas!$C$81)</f>
        <v>0.75433333333289998</v>
      </c>
      <c r="D158" s="62">
        <f>(1+Premissas!$C$26)^(12)</f>
        <v>2.5181701168189798</v>
      </c>
      <c r="E158" s="63">
        <f>Dimensionador!$C$22*(Premissas!$C$81+0.6666666667*(Premissas!$C$82-Premissas!$C$81))*Premissas!$C$21*(1+Premissas!$C$26)^(12)</f>
        <v>35246.543293549003</v>
      </c>
      <c r="F158" s="63">
        <f>Dimensionador!$C$7*Premissas!$C$13*(Premissas!$C$81+0.6666666667*(Premissas!$C$82-Premissas!$C$81))*Premissas!$C$20*(1+Premissas!$C$26)^(12)</f>
        <v>9544.8830778674292</v>
      </c>
      <c r="G158" s="64">
        <f>Dimensionador!$C$7*Premissas!$C$25*(1+Premissas!$C$27)^(12)/12</f>
        <v>2613.8949592179943</v>
      </c>
      <c r="H158" s="65">
        <f>Premissas!$C$60*(1-Premissas!$C$32)^(12)</f>
        <v>50317.968744486963</v>
      </c>
      <c r="I158" s="65">
        <f>MIN(H158,Dimensionador!$C$7*Premissas!$C$13*(Premissas!$C$81+0.6666666667*(Premissas!$C$82-Premissas!$C$81)))</f>
        <v>6055.3266730064324</v>
      </c>
      <c r="J158" s="65">
        <f t="shared" si="12"/>
        <v>44262.642071480528</v>
      </c>
      <c r="K158" s="63">
        <f>Premissas!$C$35*(1+Premissas!$C$27)^(12)/12</f>
        <v>1410.9092109415308</v>
      </c>
      <c r="L158" s="63">
        <f>E158-F158+(I158+J158)*Premissas!$C$20*(1+Premissas!$C$26)^(12)</f>
        <v>105016.80774073824</v>
      </c>
      <c r="M158" s="63">
        <f t="shared" si="13"/>
        <v>100992.0035705787</v>
      </c>
      <c r="N158" s="63">
        <f t="shared" si="14"/>
        <v>8270656.1651516203</v>
      </c>
      <c r="O158" s="63">
        <f t="shared" si="15"/>
        <v>10558156.165151622</v>
      </c>
      <c r="P158" s="66" t="str">
        <f t="shared" si="16"/>
        <v/>
      </c>
      <c r="Q158" s="67">
        <f t="shared" si="17"/>
        <v>6055.3266730064324</v>
      </c>
    </row>
    <row r="159" spans="1:17" ht="12.75" customHeight="1" x14ac:dyDescent="0.35">
      <c r="A159" s="68">
        <v>13</v>
      </c>
      <c r="B159" s="60" t="s">
        <v>120</v>
      </c>
      <c r="C159" s="61">
        <f>Premissas!$C$81+0.75*(Premissas!$C$82-Premissas!$C$81)</f>
        <v>0.75324999999999998</v>
      </c>
      <c r="D159" s="62">
        <f>(1+Premissas!$C$26)^(12)</f>
        <v>2.5181701168189798</v>
      </c>
      <c r="E159" s="63">
        <f>Dimensionador!$C$22*(Premissas!$C$81+0.75*(Premissas!$C$82-Premissas!$C$81))*Premissas!$C$21*(1+Premissas!$C$26)^(12)</f>
        <v>35195.924086452986</v>
      </c>
      <c r="F159" s="63">
        <f>Dimensionador!$C$7*Premissas!$C$13*(Premissas!$C$81+0.75*(Premissas!$C$82-Premissas!$C$81))*Premissas!$C$20*(1+Premissas!$C$26)^(12)</f>
        <v>9531.1752254632411</v>
      </c>
      <c r="G159" s="64">
        <f>Dimensionador!$C$7*Premissas!$C$25*(1+Premissas!$C$27)^(12)/12</f>
        <v>2613.8949592179943</v>
      </c>
      <c r="H159" s="65">
        <f>Premissas!$C$61*(1-Premissas!$C$32)^(12)</f>
        <v>51995.234369303194</v>
      </c>
      <c r="I159" s="65">
        <f>MIN(H159,Dimensionador!$C$7*Premissas!$C$13*(Premissas!$C$81+0.75*(Premissas!$C$82-Premissas!$C$81)))</f>
        <v>6046.6303355431492</v>
      </c>
      <c r="J159" s="65">
        <f t="shared" si="12"/>
        <v>45948.604033760043</v>
      </c>
      <c r="K159" s="63">
        <f>Premissas!$C$35*(1+Premissas!$C$27)^(12)/12</f>
        <v>1410.9092109415308</v>
      </c>
      <c r="L159" s="63">
        <f>E159-F159+(I159+J159)*Premissas!$C$20*(1+Premissas!$C$26)^(12)</f>
        <v>107623.73463688164</v>
      </c>
      <c r="M159" s="63">
        <f t="shared" si="13"/>
        <v>103598.9304667221</v>
      </c>
      <c r="N159" s="63">
        <f t="shared" si="14"/>
        <v>8374255.095618342</v>
      </c>
      <c r="O159" s="63">
        <f t="shared" si="15"/>
        <v>10661755.095618345</v>
      </c>
      <c r="P159" s="66" t="str">
        <f t="shared" si="16"/>
        <v/>
      </c>
      <c r="Q159" s="67">
        <f t="shared" si="17"/>
        <v>6046.6303355431492</v>
      </c>
    </row>
    <row r="160" spans="1:17" ht="12.75" customHeight="1" x14ac:dyDescent="0.35">
      <c r="A160" s="68">
        <v>13</v>
      </c>
      <c r="B160" s="60" t="s">
        <v>121</v>
      </c>
      <c r="C160" s="61">
        <f>Premissas!$C$81+0.8333333333*(Premissas!$C$82-Premissas!$C$81)</f>
        <v>0.75216666666709997</v>
      </c>
      <c r="D160" s="62">
        <f>(1+Premissas!$C$26)^(12)</f>
        <v>2.5181701168189798</v>
      </c>
      <c r="E160" s="63">
        <f>Dimensionador!$C$22*(Premissas!$C$81+0.8333333333*(Premissas!$C$82-Premissas!$C$81))*Premissas!$C$21*(1+Premissas!$C$26)^(12)</f>
        <v>35145.304879356969</v>
      </c>
      <c r="F160" s="63">
        <f>Dimensionador!$C$7*Premissas!$C$13*(Premissas!$C$81+0.8333333333*(Premissas!$C$82-Premissas!$C$81))*Premissas!$C$20*(1+Premissas!$C$26)^(12)</f>
        <v>9517.467373059053</v>
      </c>
      <c r="G160" s="64">
        <f>Dimensionador!$C$7*Premissas!$C$25*(1+Premissas!$C$27)^(12)/12</f>
        <v>2613.8949592179943</v>
      </c>
      <c r="H160" s="65">
        <f>Premissas!$C$62*(1-Premissas!$C$32)^(12)</f>
        <v>50317.968744486963</v>
      </c>
      <c r="I160" s="65">
        <f>MIN(H160,Dimensionador!$C$7*Premissas!$C$13*(Premissas!$C$81+0.8333333333*(Premissas!$C$82-Premissas!$C$81)))</f>
        <v>6037.9339980798659</v>
      </c>
      <c r="J160" s="65">
        <f t="shared" si="12"/>
        <v>44280.034746407095</v>
      </c>
      <c r="K160" s="63">
        <f>Premissas!$C$35*(1+Premissas!$C$27)^(12)/12</f>
        <v>1410.9092109415308</v>
      </c>
      <c r="L160" s="63">
        <f>E160-F160+(I160+J160)*Premissas!$C$20*(1+Premissas!$C$26)^(12)</f>
        <v>104942.98503135459</v>
      </c>
      <c r="M160" s="63">
        <f t="shared" si="13"/>
        <v>100918.18086119505</v>
      </c>
      <c r="N160" s="63">
        <f t="shared" si="14"/>
        <v>8475173.2764795367</v>
      </c>
      <c r="O160" s="63">
        <f t="shared" si="15"/>
        <v>10762673.27647954</v>
      </c>
      <c r="P160" s="66" t="str">
        <f t="shared" si="16"/>
        <v/>
      </c>
      <c r="Q160" s="67">
        <f t="shared" si="17"/>
        <v>6037.9339980798659</v>
      </c>
    </row>
    <row r="161" spans="1:17" ht="12.75" customHeight="1" x14ac:dyDescent="0.35">
      <c r="A161" s="69">
        <v>13</v>
      </c>
      <c r="B161" s="70" t="s">
        <v>122</v>
      </c>
      <c r="C161" s="71">
        <f>Premissas!$C$81+0.9166666667*(Premissas!$C$82-Premissas!$C$81)</f>
        <v>0.7510833333329</v>
      </c>
      <c r="D161" s="72">
        <f>(1+Premissas!$C$26)^(12)</f>
        <v>2.5181701168189798</v>
      </c>
      <c r="E161" s="73">
        <f>Dimensionador!$C$22*(Premissas!$C$81+0.9166666667*(Premissas!$C$82-Premissas!$C$81))*Premissas!$C$21*(1+Premissas!$C$26)^(12)</f>
        <v>35094.685672200212</v>
      </c>
      <c r="F161" s="73">
        <f>Dimensionador!$C$7*Premissas!$C$13*(Premissas!$C$81+0.9166666667*(Premissas!$C$82-Premissas!$C$81))*Premissas!$C$20*(1+Premissas!$C$26)^(12)</f>
        <v>9503.7595206384158</v>
      </c>
      <c r="G161" s="74">
        <f>Dimensionador!$C$7*Premissas!$C$25*(1+Premissas!$C$27)^(12)/12</f>
        <v>2613.8949592179943</v>
      </c>
      <c r="H161" s="75">
        <f>Premissas!$C$63*(1-Premissas!$C$32)^(12)</f>
        <v>51995.234369303194</v>
      </c>
      <c r="I161" s="76">
        <f>MIN(H161,Dimensionador!$C$7*Premissas!$C$13*(Premissas!$C$81+0.9166666667*(Premissas!$C$82-Premissas!$C$81)))</f>
        <v>6029.2376606061471</v>
      </c>
      <c r="J161" s="75">
        <f t="shared" si="12"/>
        <v>45965.99670869705</v>
      </c>
      <c r="K161" s="77">
        <f>Premissas!$C$35*(1+Premissas!$C$27)^(12)/12</f>
        <v>1410.9092109415308</v>
      </c>
      <c r="L161" s="73">
        <f>E161-F161+(I161+J161)*Premissas!$C$20*(1+Premissas!$C$26)^(12)</f>
        <v>107549.91192745369</v>
      </c>
      <c r="M161" s="77">
        <f t="shared" si="13"/>
        <v>103525.10775729416</v>
      </c>
      <c r="N161" s="77">
        <f t="shared" si="14"/>
        <v>8578698.3842368312</v>
      </c>
      <c r="O161" s="77">
        <f t="shared" si="15"/>
        <v>10866198.384236835</v>
      </c>
      <c r="P161" s="78" t="str">
        <f t="shared" si="16"/>
        <v/>
      </c>
      <c r="Q161" s="67">
        <f t="shared" si="17"/>
        <v>6029.2376606061471</v>
      </c>
    </row>
    <row r="162" spans="1:17" ht="12.75" customHeight="1" x14ac:dyDescent="0.35">
      <c r="A162" s="79">
        <v>14</v>
      </c>
      <c r="B162" s="80" t="s">
        <v>110</v>
      </c>
      <c r="C162" s="81">
        <f>Premissas!$C$82+0*(Premissas!$C$83-Premissas!$C$82)</f>
        <v>0.75</v>
      </c>
      <c r="D162" s="82">
        <f>(1+Premissas!$C$26)^(13)</f>
        <v>2.7196237261644982</v>
      </c>
      <c r="E162" s="83">
        <f>Dimensionador!$C$22*(Premissas!$C$82+0*(Premissas!$C$83-Premissas!$C$82))*Premissas!$C$21*(1+Premissas!$C$26)^(13)</f>
        <v>37847.591782312542</v>
      </c>
      <c r="F162" s="83">
        <f>Dimensionador!$C$7*Premissas!$C$13*(Premissas!$C$82+0*(Premissas!$C$83-Premissas!$C$82))*Premissas!$C$20*(1+Premissas!$C$26)^(13)</f>
        <v>10249.255801692965</v>
      </c>
      <c r="G162" s="84">
        <f>Dimensionador!$C$7*Premissas!$C$25*(1+Premissas!$C$27)^(13)/12</f>
        <v>2692.3118079945339</v>
      </c>
      <c r="H162" s="85">
        <f>Premissas!$C$52*(1-Premissas!$C$32)^(13)</f>
        <v>51735.258197456686</v>
      </c>
      <c r="I162" s="85">
        <f>MIN(H162,Dimensionador!$C$7*Premissas!$C$13*(Premissas!$C$82+0*(Premissas!$C$83-Premissas!$C$82)))</f>
        <v>6020.5413231428638</v>
      </c>
      <c r="J162" s="85">
        <f t="shared" si="12"/>
        <v>45714.716874313825</v>
      </c>
      <c r="K162" s="83">
        <f>Premissas!$C$35*(1+Premissas!$C$27)^(13)/12</f>
        <v>1453.2364872697769</v>
      </c>
      <c r="L162" s="83">
        <f>E162-F162+(I162+J162)*Premissas!$C$20*(1+Premissas!$C$26)^(13)</f>
        <v>115671.46209539303</v>
      </c>
      <c r="M162" s="83">
        <f t="shared" si="13"/>
        <v>111525.91380012872</v>
      </c>
      <c r="N162" s="83">
        <f t="shared" si="14"/>
        <v>8690224.298036959</v>
      </c>
      <c r="O162" s="83">
        <f t="shared" si="15"/>
        <v>10977724.298036963</v>
      </c>
      <c r="P162" s="86" t="str">
        <f t="shared" si="16"/>
        <v/>
      </c>
      <c r="Q162" s="67">
        <f t="shared" si="17"/>
        <v>6020.5413231428638</v>
      </c>
    </row>
    <row r="163" spans="1:17" ht="12.75" customHeight="1" x14ac:dyDescent="0.35">
      <c r="A163" s="87">
        <v>14</v>
      </c>
      <c r="B163" s="80" t="s">
        <v>112</v>
      </c>
      <c r="C163" s="81">
        <f>Premissas!$C$82+0.0833333333*(Premissas!$C$83-Premissas!$C$82)</f>
        <v>0.74866666666720005</v>
      </c>
      <c r="D163" s="82">
        <f>(1+Premissas!$C$26)^(13)</f>
        <v>2.7196237261644982</v>
      </c>
      <c r="E163" s="83">
        <f>Dimensionador!$C$22*(Premissas!$C$82+0.0833333333*(Premissas!$C$83-Premissas!$C$82))*Premissas!$C$21*(1+Premissas!$C$26)^(13)</f>
        <v>37780.307174726455</v>
      </c>
      <c r="F163" s="83">
        <f>Dimensionador!$C$7*Premissas!$C$13*(Premissas!$C$82+0.0833333333*(Premissas!$C$83-Premissas!$C$82))*Premissas!$C$20*(1+Premissas!$C$26)^(13)</f>
        <v>10231.034902497244</v>
      </c>
      <c r="G163" s="84">
        <f>Dimensionador!$C$7*Premissas!$C$25*(1+Premissas!$C$27)^(13)/12</f>
        <v>2692.3118079945339</v>
      </c>
      <c r="H163" s="85">
        <f>Premissas!$C$53*(1-Premissas!$C$32)^(13)</f>
        <v>46728.620307380232</v>
      </c>
      <c r="I163" s="85">
        <f>MIN(H163,Dimensionador!$C$7*Premissas!$C$13*(Premissas!$C$82+0.0833333333*(Premissas!$C$83-Premissas!$C$82)))</f>
        <v>6009.8381385726689</v>
      </c>
      <c r="J163" s="85">
        <f t="shared" si="12"/>
        <v>40718.782168807564</v>
      </c>
      <c r="K163" s="83">
        <f>Premissas!$C$35*(1+Premissas!$C$27)^(13)/12</f>
        <v>1453.2364872697769</v>
      </c>
      <c r="L163" s="83">
        <f>E163-F163+(I163+J163)*Premissas!$C$20*(1+Premissas!$C$26)^(13)</f>
        <v>107099.19263396006</v>
      </c>
      <c r="M163" s="83">
        <f t="shared" si="13"/>
        <v>102953.64433869575</v>
      </c>
      <c r="N163" s="83">
        <f t="shared" si="14"/>
        <v>8793177.9423756544</v>
      </c>
      <c r="O163" s="83">
        <f t="shared" si="15"/>
        <v>11080677.942375658</v>
      </c>
      <c r="P163" s="86" t="str">
        <f t="shared" si="16"/>
        <v/>
      </c>
      <c r="Q163" s="67">
        <f t="shared" si="17"/>
        <v>6009.8381385726689</v>
      </c>
    </row>
    <row r="164" spans="1:17" ht="12.75" customHeight="1" x14ac:dyDescent="0.35">
      <c r="A164" s="87">
        <v>14</v>
      </c>
      <c r="B164" s="80" t="s">
        <v>113</v>
      </c>
      <c r="C164" s="81">
        <f>Premissas!$C$82+0.1666666667*(Premissas!$C$83-Premissas!$C$82)</f>
        <v>0.74733333333279994</v>
      </c>
      <c r="D164" s="82">
        <f>(1+Premissas!$C$26)^(13)</f>
        <v>2.7196237261644982</v>
      </c>
      <c r="E164" s="83">
        <f>Dimensionador!$C$22*(Premissas!$C$82+0.1666666667*(Premissas!$C$83-Premissas!$C$82))*Premissas!$C$21*(1+Premissas!$C$26)^(13)</f>
        <v>37713.022567059619</v>
      </c>
      <c r="F164" s="83">
        <f>Dimensionador!$C$7*Premissas!$C$13*(Premissas!$C$82+0.1666666667*(Premissas!$C$83-Premissas!$C$82))*Premissas!$C$20*(1+Premissas!$C$26)^(13)</f>
        <v>10212.814003279656</v>
      </c>
      <c r="G164" s="84">
        <f>Dimensionador!$C$7*Premissas!$C$25*(1+Premissas!$C$27)^(13)/12</f>
        <v>2692.3118079945339</v>
      </c>
      <c r="H164" s="85">
        <f>Premissas!$C$54*(1-Premissas!$C$32)^(13)</f>
        <v>51735.258197456686</v>
      </c>
      <c r="I164" s="85">
        <f>MIN(H164,Dimensionador!$C$7*Premissas!$C$13*(Premissas!$C$82+0.1666666667*(Premissas!$C$83-Premissas!$C$82)))</f>
        <v>5999.1349539896291</v>
      </c>
      <c r="J164" s="85">
        <f t="shared" si="12"/>
        <v>45736.123243467053</v>
      </c>
      <c r="K164" s="83">
        <f>Premissas!$C$35*(1+Premissas!$C$27)^(13)/12</f>
        <v>1453.2364872697769</v>
      </c>
      <c r="L164" s="83">
        <f>E164-F164+(I164+J164)*Premissas!$C$20*(1+Premissas!$C$26)^(13)</f>
        <v>115573.33467855341</v>
      </c>
      <c r="M164" s="83">
        <f t="shared" si="13"/>
        <v>111427.7863832891</v>
      </c>
      <c r="N164" s="83">
        <f t="shared" si="14"/>
        <v>8904605.7287589442</v>
      </c>
      <c r="O164" s="83">
        <f t="shared" si="15"/>
        <v>11192105.728758948</v>
      </c>
      <c r="P164" s="86" t="str">
        <f t="shared" si="16"/>
        <v/>
      </c>
      <c r="Q164" s="67">
        <f t="shared" si="17"/>
        <v>5999.1349539896291</v>
      </c>
    </row>
    <row r="165" spans="1:17" ht="12.75" customHeight="1" x14ac:dyDescent="0.35">
      <c r="A165" s="87">
        <v>14</v>
      </c>
      <c r="B165" s="80" t="s">
        <v>114</v>
      </c>
      <c r="C165" s="81">
        <f>Premissas!$C$82+0.25*(Premissas!$C$83-Premissas!$C$82)</f>
        <v>0.746</v>
      </c>
      <c r="D165" s="82">
        <f>(1+Premissas!$C$26)^(13)</f>
        <v>2.7196237261644982</v>
      </c>
      <c r="E165" s="83">
        <f>Dimensionador!$C$22*(Premissas!$C$82+0.25*(Premissas!$C$83-Premissas!$C$82))*Premissas!$C$21*(1+Premissas!$C$26)^(13)</f>
        <v>37645.737959473547</v>
      </c>
      <c r="F165" s="83">
        <f>Dimensionador!$C$7*Premissas!$C$13*(Premissas!$C$82+0.25*(Premissas!$C$83-Premissas!$C$82))*Premissas!$C$20*(1+Premissas!$C$26)^(13)</f>
        <v>10194.593104083935</v>
      </c>
      <c r="G165" s="84">
        <f>Dimensionador!$C$7*Premissas!$C$25*(1+Premissas!$C$27)^(13)/12</f>
        <v>2692.3118079945339</v>
      </c>
      <c r="H165" s="85">
        <f>Premissas!$C$55*(1-Premissas!$C$32)^(13)</f>
        <v>50066.378900764532</v>
      </c>
      <c r="I165" s="85">
        <f>MIN(H165,Dimensionador!$C$7*Premissas!$C$13*(Premissas!$C$82+0.25*(Premissas!$C$83-Premissas!$C$82)))</f>
        <v>5988.4317694194351</v>
      </c>
      <c r="J165" s="85">
        <f t="shared" si="12"/>
        <v>44077.947131345099</v>
      </c>
      <c r="K165" s="83">
        <f>Premissas!$C$35*(1+Premissas!$C$27)^(13)/12</f>
        <v>1453.2364872697769</v>
      </c>
      <c r="L165" s="83">
        <f>E165-F165+(I165+J165)*Premissas!$C$20*(1+Premissas!$C$26)^(13)</f>
        <v>112683.20238581553</v>
      </c>
      <c r="M165" s="83">
        <f t="shared" si="13"/>
        <v>108537.65409055122</v>
      </c>
      <c r="N165" s="83">
        <f t="shared" si="14"/>
        <v>9013143.3828494959</v>
      </c>
      <c r="O165" s="83">
        <f t="shared" si="15"/>
        <v>11300643.3828495</v>
      </c>
      <c r="P165" s="86" t="str">
        <f t="shared" si="16"/>
        <v/>
      </c>
      <c r="Q165" s="67">
        <f t="shared" si="17"/>
        <v>5988.4317694194351</v>
      </c>
    </row>
    <row r="166" spans="1:17" ht="12.75" customHeight="1" x14ac:dyDescent="0.35">
      <c r="A166" s="87">
        <v>14</v>
      </c>
      <c r="B166" s="80" t="s">
        <v>115</v>
      </c>
      <c r="C166" s="81">
        <f>Premissas!$C$82+0.3333333333*(Premissas!$C$83-Premissas!$C$82)</f>
        <v>0.74466666666720005</v>
      </c>
      <c r="D166" s="82">
        <f>(1+Premissas!$C$26)^(13)</f>
        <v>2.7196237261644982</v>
      </c>
      <c r="E166" s="83">
        <f>Dimensionador!$C$22*(Premissas!$C$82+0.3333333333*(Premissas!$C$83-Premissas!$C$82))*Premissas!$C$21*(1+Premissas!$C$26)^(13)</f>
        <v>37578.453351887452</v>
      </c>
      <c r="F166" s="83">
        <f>Dimensionador!$C$7*Premissas!$C$13*(Premissas!$C$82+0.3333333333*(Premissas!$C$83-Premissas!$C$82))*Premissas!$C$20*(1+Premissas!$C$26)^(13)</f>
        <v>10176.372204888214</v>
      </c>
      <c r="G166" s="84">
        <f>Dimensionador!$C$7*Premissas!$C$25*(1+Premissas!$C$27)^(13)/12</f>
        <v>2692.3118079945339</v>
      </c>
      <c r="H166" s="85">
        <f>Premissas!$C$56*(1-Premissas!$C$32)^(13)</f>
        <v>51735.258197456686</v>
      </c>
      <c r="I166" s="85">
        <f>MIN(H166,Dimensionador!$C$7*Premissas!$C$13*(Premissas!$C$82+0.3333333333*(Premissas!$C$83-Premissas!$C$82)))</f>
        <v>5977.7285848492402</v>
      </c>
      <c r="J166" s="85">
        <f t="shared" si="12"/>
        <v>45757.529612607446</v>
      </c>
      <c r="K166" s="83">
        <f>Premissas!$C$35*(1+Premissas!$C$27)^(13)/12</f>
        <v>1453.2364872697769</v>
      </c>
      <c r="L166" s="83">
        <f>E166-F166+(I166+J166)*Premissas!$C$20*(1+Premissas!$C$26)^(13)</f>
        <v>115475.20726177268</v>
      </c>
      <c r="M166" s="83">
        <f t="shared" si="13"/>
        <v>111329.65896650837</v>
      </c>
      <c r="N166" s="83">
        <f t="shared" si="14"/>
        <v>9124473.0418160036</v>
      </c>
      <c r="O166" s="83">
        <f t="shared" si="15"/>
        <v>11411973.041816007</v>
      </c>
      <c r="P166" s="86" t="str">
        <f t="shared" si="16"/>
        <v/>
      </c>
      <c r="Q166" s="67">
        <f t="shared" si="17"/>
        <v>5977.7285848492402</v>
      </c>
    </row>
    <row r="167" spans="1:17" ht="12.75" customHeight="1" x14ac:dyDescent="0.35">
      <c r="A167" s="87">
        <v>14</v>
      </c>
      <c r="B167" s="80" t="s">
        <v>116</v>
      </c>
      <c r="C167" s="81">
        <f>Premissas!$C$82+0.4166666667*(Premissas!$C$83-Premissas!$C$82)</f>
        <v>0.74333333333279994</v>
      </c>
      <c r="D167" s="82">
        <f>(1+Premissas!$C$26)^(13)</f>
        <v>2.7196237261644982</v>
      </c>
      <c r="E167" s="83">
        <f>Dimensionador!$C$22*(Premissas!$C$82+0.4166666667*(Premissas!$C$83-Premissas!$C$82))*Premissas!$C$21*(1+Premissas!$C$26)^(13)</f>
        <v>37511.168744220624</v>
      </c>
      <c r="F167" s="83">
        <f>Dimensionador!$C$7*Premissas!$C$13*(Premissas!$C$82+0.4166666667*(Premissas!$C$83-Premissas!$C$82))*Premissas!$C$20*(1+Premissas!$C$26)^(13)</f>
        <v>10158.151305670626</v>
      </c>
      <c r="G167" s="84">
        <f>Dimensionador!$C$7*Premissas!$C$25*(1+Premissas!$C$27)^(13)/12</f>
        <v>2692.3118079945339</v>
      </c>
      <c r="H167" s="85">
        <f>Premissas!$C$57*(1-Premissas!$C$32)^(13)</f>
        <v>50066.378900764532</v>
      </c>
      <c r="I167" s="85">
        <f>MIN(H167,Dimensionador!$C$7*Premissas!$C$13*(Premissas!$C$82+0.4166666667*(Premissas!$C$83-Premissas!$C$82)))</f>
        <v>5967.0254002662004</v>
      </c>
      <c r="J167" s="85">
        <f t="shared" si="12"/>
        <v>44099.353500498328</v>
      </c>
      <c r="K167" s="83">
        <f>Premissas!$C$35*(1+Premissas!$C$27)^(13)/12</f>
        <v>1453.2364872697769</v>
      </c>
      <c r="L167" s="83">
        <f>E167-F167+(I167+J167)*Premissas!$C$20*(1+Premissas!$C$26)^(13)</f>
        <v>112585.0749689759</v>
      </c>
      <c r="M167" s="83">
        <f t="shared" si="13"/>
        <v>108439.52667371159</v>
      </c>
      <c r="N167" s="83">
        <f t="shared" si="14"/>
        <v>9232912.5684897155</v>
      </c>
      <c r="O167" s="83">
        <f t="shared" si="15"/>
        <v>11520412.568489719</v>
      </c>
      <c r="P167" s="86" t="str">
        <f t="shared" si="16"/>
        <v/>
      </c>
      <c r="Q167" s="67">
        <f t="shared" si="17"/>
        <v>5967.0254002662004</v>
      </c>
    </row>
    <row r="168" spans="1:17" ht="12.75" customHeight="1" x14ac:dyDescent="0.35">
      <c r="A168" s="87">
        <v>14</v>
      </c>
      <c r="B168" s="80" t="s">
        <v>117</v>
      </c>
      <c r="C168" s="81">
        <f>Premissas!$C$82+0.5*(Premissas!$C$83-Premissas!$C$82)</f>
        <v>0.74199999999999999</v>
      </c>
      <c r="D168" s="82">
        <f>(1+Premissas!$C$26)^(13)</f>
        <v>2.7196237261644982</v>
      </c>
      <c r="E168" s="83">
        <f>Dimensionador!$C$22*(Premissas!$C$82+0.5*(Premissas!$C$83-Premissas!$C$82))*Premissas!$C$21*(1+Premissas!$C$26)^(13)</f>
        <v>37443.884136634537</v>
      </c>
      <c r="F168" s="83">
        <f>Dimensionador!$C$7*Premissas!$C$13*(Premissas!$C$82+0.5*(Premissas!$C$83-Premissas!$C$82))*Premissas!$C$20*(1+Premissas!$C$26)^(13)</f>
        <v>10139.930406474905</v>
      </c>
      <c r="G168" s="84">
        <f>Dimensionador!$C$7*Premissas!$C$25*(1+Premissas!$C$27)^(13)/12</f>
        <v>2692.3118079945339</v>
      </c>
      <c r="H168" s="85">
        <f>Premissas!$C$58*(1-Premissas!$C$32)^(13)</f>
        <v>51735.258197456686</v>
      </c>
      <c r="I168" s="85">
        <f>MIN(H168,Dimensionador!$C$7*Premissas!$C$13*(Premissas!$C$82+0.5*(Premissas!$C$83-Premissas!$C$82)))</f>
        <v>5956.3222156960064</v>
      </c>
      <c r="J168" s="85">
        <f t="shared" si="12"/>
        <v>45778.935981760682</v>
      </c>
      <c r="K168" s="83">
        <f>Premissas!$C$35*(1+Premissas!$C$27)^(13)/12</f>
        <v>1453.2364872697769</v>
      </c>
      <c r="L168" s="83">
        <f>E168-F168+(I168+J168)*Premissas!$C$20*(1+Premissas!$C$26)^(13)</f>
        <v>115377.07984493308</v>
      </c>
      <c r="M168" s="83">
        <f t="shared" si="13"/>
        <v>111231.53154966877</v>
      </c>
      <c r="N168" s="83">
        <f t="shared" si="14"/>
        <v>9344144.1000393834</v>
      </c>
      <c r="O168" s="83">
        <f t="shared" si="15"/>
        <v>11631644.100039387</v>
      </c>
      <c r="P168" s="86" t="str">
        <f t="shared" si="16"/>
        <v/>
      </c>
      <c r="Q168" s="67">
        <f t="shared" si="17"/>
        <v>5956.3222156960064</v>
      </c>
    </row>
    <row r="169" spans="1:17" ht="12.75" customHeight="1" x14ac:dyDescent="0.35">
      <c r="A169" s="87">
        <v>14</v>
      </c>
      <c r="B169" s="80" t="s">
        <v>118</v>
      </c>
      <c r="C169" s="81">
        <f>Premissas!$C$82+0.5833333333*(Premissas!$C$83-Premissas!$C$82)</f>
        <v>0.74066666666719994</v>
      </c>
      <c r="D169" s="82">
        <f>(1+Premissas!$C$26)^(13)</f>
        <v>2.7196237261644982</v>
      </c>
      <c r="E169" s="83">
        <f>Dimensionador!$C$22*(Premissas!$C$82+0.5833333333*(Premissas!$C$83-Premissas!$C$82))*Premissas!$C$21*(1+Premissas!$C$26)^(13)</f>
        <v>37376.59952904845</v>
      </c>
      <c r="F169" s="83">
        <f>Dimensionador!$C$7*Premissas!$C$13*(Premissas!$C$82+0.5833333333*(Premissas!$C$83-Premissas!$C$82))*Premissas!$C$20*(1+Premissas!$C$26)^(13)</f>
        <v>10121.709507279184</v>
      </c>
      <c r="G169" s="84">
        <f>Dimensionador!$C$7*Premissas!$C$25*(1+Premissas!$C$27)^(13)/12</f>
        <v>2692.3118079945339</v>
      </c>
      <c r="H169" s="85">
        <f>Premissas!$C$59*(1-Premissas!$C$32)^(13)</f>
        <v>51735.258197456686</v>
      </c>
      <c r="I169" s="85">
        <f>MIN(H169,Dimensionador!$C$7*Premissas!$C$13*(Premissas!$C$82+0.5833333333*(Premissas!$C$83-Premissas!$C$82)))</f>
        <v>5945.6190311258106</v>
      </c>
      <c r="J169" s="85">
        <f t="shared" si="12"/>
        <v>45789.639166330875</v>
      </c>
      <c r="K169" s="83">
        <f>Premissas!$C$35*(1+Premissas!$C$27)^(13)/12</f>
        <v>1453.2364872697769</v>
      </c>
      <c r="L169" s="83">
        <f>E169-F169+(I169+J169)*Premissas!$C$20*(1+Premissas!$C$26)^(13)</f>
        <v>115328.01613654272</v>
      </c>
      <c r="M169" s="83">
        <f t="shared" si="13"/>
        <v>111182.46784127841</v>
      </c>
      <c r="N169" s="83">
        <f t="shared" si="14"/>
        <v>9455326.5678806622</v>
      </c>
      <c r="O169" s="83">
        <f t="shared" si="15"/>
        <v>11742826.567880666</v>
      </c>
      <c r="P169" s="86" t="str">
        <f t="shared" si="16"/>
        <v/>
      </c>
      <c r="Q169" s="67">
        <f t="shared" si="17"/>
        <v>5945.6190311258106</v>
      </c>
    </row>
    <row r="170" spans="1:17" ht="12.75" customHeight="1" x14ac:dyDescent="0.35">
      <c r="A170" s="87">
        <v>14</v>
      </c>
      <c r="B170" s="80" t="s">
        <v>119</v>
      </c>
      <c r="C170" s="81">
        <f>Premissas!$C$82+0.6666666667*(Premissas!$C$83-Premissas!$C$82)</f>
        <v>0.73933333333280005</v>
      </c>
      <c r="D170" s="82">
        <f>(1+Premissas!$C$26)^(13)</f>
        <v>2.7196237261644982</v>
      </c>
      <c r="E170" s="83">
        <f>Dimensionador!$C$22*(Premissas!$C$82+0.6666666667*(Premissas!$C$83-Premissas!$C$82))*Premissas!$C$21*(1+Premissas!$C$26)^(13)</f>
        <v>37309.314921381629</v>
      </c>
      <c r="F170" s="83">
        <f>Dimensionador!$C$7*Premissas!$C$13*(Premissas!$C$82+0.6666666667*(Premissas!$C$83-Premissas!$C$82))*Premissas!$C$20*(1+Premissas!$C$26)^(13)</f>
        <v>10103.488608061598</v>
      </c>
      <c r="G170" s="84">
        <f>Dimensionador!$C$7*Premissas!$C$25*(1+Premissas!$C$27)^(13)/12</f>
        <v>2692.3118079945339</v>
      </c>
      <c r="H170" s="85">
        <f>Premissas!$C$60*(1-Premissas!$C$32)^(13)</f>
        <v>50066.378900764532</v>
      </c>
      <c r="I170" s="85">
        <f>MIN(H170,Dimensionador!$C$7*Premissas!$C$13*(Premissas!$C$82+0.6666666667*(Premissas!$C$83-Premissas!$C$82)))</f>
        <v>5934.9158465427727</v>
      </c>
      <c r="J170" s="85">
        <f t="shared" si="12"/>
        <v>44131.463054221756</v>
      </c>
      <c r="K170" s="83">
        <f>Premissas!$C$35*(1+Premissas!$C$27)^(13)/12</f>
        <v>1453.2364872697769</v>
      </c>
      <c r="L170" s="83">
        <f>E170-F170+(I170+J170)*Premissas!$C$20*(1+Premissas!$C$26)^(13)</f>
        <v>112437.88384374595</v>
      </c>
      <c r="M170" s="83">
        <f t="shared" si="13"/>
        <v>108292.33554848164</v>
      </c>
      <c r="N170" s="83">
        <f t="shared" si="14"/>
        <v>9563618.9034291431</v>
      </c>
      <c r="O170" s="83">
        <f t="shared" si="15"/>
        <v>11851118.903429147</v>
      </c>
      <c r="P170" s="86" t="str">
        <f t="shared" si="16"/>
        <v/>
      </c>
      <c r="Q170" s="67">
        <f t="shared" si="17"/>
        <v>5934.9158465427727</v>
      </c>
    </row>
    <row r="171" spans="1:17" ht="12.75" customHeight="1" x14ac:dyDescent="0.35">
      <c r="A171" s="87">
        <v>14</v>
      </c>
      <c r="B171" s="80" t="s">
        <v>120</v>
      </c>
      <c r="C171" s="81">
        <f>Premissas!$C$82+0.75*(Premissas!$C$83-Premissas!$C$82)</f>
        <v>0.73799999999999999</v>
      </c>
      <c r="D171" s="82">
        <f>(1+Premissas!$C$26)^(13)</f>
        <v>2.7196237261644982</v>
      </c>
      <c r="E171" s="83">
        <f>Dimensionador!$C$22*(Premissas!$C$82+0.75*(Premissas!$C$83-Premissas!$C$82))*Premissas!$C$21*(1+Premissas!$C$26)^(13)</f>
        <v>37242.030313795542</v>
      </c>
      <c r="F171" s="83">
        <f>Dimensionador!$C$7*Premissas!$C$13*(Premissas!$C$82+0.75*(Premissas!$C$83-Premissas!$C$82))*Premissas!$C$20*(1+Premissas!$C$26)^(13)</f>
        <v>10085.267708865877</v>
      </c>
      <c r="G171" s="84">
        <f>Dimensionador!$C$7*Premissas!$C$25*(1+Premissas!$C$27)^(13)/12</f>
        <v>2692.3118079945339</v>
      </c>
      <c r="H171" s="85">
        <f>Premissas!$C$61*(1-Premissas!$C$32)^(13)</f>
        <v>51735.258197456686</v>
      </c>
      <c r="I171" s="85">
        <f>MIN(H171,Dimensionador!$C$7*Premissas!$C$13*(Premissas!$C$82+0.75*(Premissas!$C$83-Premissas!$C$82)))</f>
        <v>5924.2126619725777</v>
      </c>
      <c r="J171" s="85">
        <f t="shared" si="12"/>
        <v>45811.045535484111</v>
      </c>
      <c r="K171" s="83">
        <f>Premissas!$C$35*(1+Premissas!$C$27)^(13)/12</f>
        <v>1453.2364872697769</v>
      </c>
      <c r="L171" s="83">
        <f>E171-F171+(I171+J171)*Premissas!$C$20*(1+Premissas!$C$26)^(13)</f>
        <v>115229.88871970311</v>
      </c>
      <c r="M171" s="83">
        <f t="shared" si="13"/>
        <v>111084.34042443881</v>
      </c>
      <c r="N171" s="83">
        <f t="shared" si="14"/>
        <v>9674703.2438535821</v>
      </c>
      <c r="O171" s="83">
        <f t="shared" si="15"/>
        <v>11962203.243853586</v>
      </c>
      <c r="P171" s="86" t="str">
        <f t="shared" si="16"/>
        <v/>
      </c>
      <c r="Q171" s="67">
        <f t="shared" si="17"/>
        <v>5924.2126619725777</v>
      </c>
    </row>
    <row r="172" spans="1:17" ht="12.75" customHeight="1" x14ac:dyDescent="0.35">
      <c r="A172" s="87">
        <v>14</v>
      </c>
      <c r="B172" s="80" t="s">
        <v>121</v>
      </c>
      <c r="C172" s="81">
        <f>Premissas!$C$82+0.8333333333*(Premissas!$C$83-Premissas!$C$82)</f>
        <v>0.73666666666719993</v>
      </c>
      <c r="D172" s="82">
        <f>(1+Premissas!$C$26)^(13)</f>
        <v>2.7196237261644982</v>
      </c>
      <c r="E172" s="83">
        <f>Dimensionador!$C$22*(Premissas!$C$82+0.8333333333*(Premissas!$C$83-Premissas!$C$82))*Premissas!$C$21*(1+Premissas!$C$26)^(13)</f>
        <v>37174.745706209455</v>
      </c>
      <c r="F172" s="83">
        <f>Dimensionador!$C$7*Premissas!$C$13*(Premissas!$C$82+0.8333333333*(Premissas!$C$83-Premissas!$C$82))*Premissas!$C$20*(1+Premissas!$C$26)^(13)</f>
        <v>10067.046809670153</v>
      </c>
      <c r="G172" s="84">
        <f>Dimensionador!$C$7*Premissas!$C$25*(1+Premissas!$C$27)^(13)/12</f>
        <v>2692.3118079945339</v>
      </c>
      <c r="H172" s="85">
        <f>Premissas!$C$62*(1-Premissas!$C$32)^(13)</f>
        <v>50066.378900764532</v>
      </c>
      <c r="I172" s="85">
        <f>MIN(H172,Dimensionador!$C$7*Premissas!$C$13*(Premissas!$C$82+0.8333333333*(Premissas!$C$83-Premissas!$C$82)))</f>
        <v>5913.5094774023819</v>
      </c>
      <c r="J172" s="85">
        <f t="shared" si="12"/>
        <v>44152.86942336215</v>
      </c>
      <c r="K172" s="83">
        <f>Premissas!$C$35*(1+Premissas!$C$27)^(13)/12</f>
        <v>1453.2364872697769</v>
      </c>
      <c r="L172" s="83">
        <f>E172-F172+(I172+J172)*Premissas!$C$20*(1+Premissas!$C$26)^(13)</f>
        <v>112339.75642696521</v>
      </c>
      <c r="M172" s="83">
        <f t="shared" si="13"/>
        <v>108194.2081317009</v>
      </c>
      <c r="N172" s="83">
        <f t="shared" si="14"/>
        <v>9782897.4519852828</v>
      </c>
      <c r="O172" s="83">
        <f t="shared" si="15"/>
        <v>12070397.451985287</v>
      </c>
      <c r="P172" s="86" t="str">
        <f t="shared" si="16"/>
        <v/>
      </c>
      <c r="Q172" s="67">
        <f t="shared" si="17"/>
        <v>5913.5094774023819</v>
      </c>
    </row>
    <row r="173" spans="1:17" ht="12.75" customHeight="1" x14ac:dyDescent="0.35">
      <c r="A173" s="88">
        <v>14</v>
      </c>
      <c r="B173" s="89" t="s">
        <v>122</v>
      </c>
      <c r="C173" s="90">
        <f>Premissas!$C$82+0.9166666667*(Premissas!$C$83-Premissas!$C$82)</f>
        <v>0.73533333333280004</v>
      </c>
      <c r="D173" s="91">
        <f>(1+Premissas!$C$26)^(13)</f>
        <v>2.7196237261644982</v>
      </c>
      <c r="E173" s="92">
        <f>Dimensionador!$C$22*(Premissas!$C$82+0.9166666667*(Premissas!$C$83-Premissas!$C$82))*Premissas!$C$21*(1+Premissas!$C$26)^(13)</f>
        <v>37107.461098542626</v>
      </c>
      <c r="F173" s="92">
        <f>Dimensionador!$C$7*Premissas!$C$13*(Premissas!$C$82+0.9166666667*(Premissas!$C$83-Premissas!$C$82))*Premissas!$C$20*(1+Premissas!$C$26)^(13)</f>
        <v>10048.82591045257</v>
      </c>
      <c r="G173" s="93">
        <f>Dimensionador!$C$7*Premissas!$C$25*(1+Premissas!$C$27)^(13)/12</f>
        <v>2692.3118079945339</v>
      </c>
      <c r="H173" s="94">
        <f>Premissas!$C$63*(1-Premissas!$C$32)^(13)</f>
        <v>51735.258197456686</v>
      </c>
      <c r="I173" s="95">
        <f>MIN(H173,Dimensionador!$C$7*Premissas!$C$13*(Premissas!$C$82+0.9166666667*(Premissas!$C$83-Premissas!$C$82)))</f>
        <v>5902.806292819344</v>
      </c>
      <c r="J173" s="94">
        <f t="shared" si="12"/>
        <v>45832.451904637339</v>
      </c>
      <c r="K173" s="96">
        <f>Premissas!$C$35*(1+Premissas!$C$27)^(13)/12</f>
        <v>1453.2364872697769</v>
      </c>
      <c r="L173" s="92">
        <f>E173-F173+(I173+J173)*Premissas!$C$20*(1+Premissas!$C$26)^(13)</f>
        <v>115131.76130286351</v>
      </c>
      <c r="M173" s="96">
        <f t="shared" si="13"/>
        <v>110986.2130075992</v>
      </c>
      <c r="N173" s="96">
        <f t="shared" si="14"/>
        <v>9893883.6649928819</v>
      </c>
      <c r="O173" s="96">
        <f t="shared" si="15"/>
        <v>12181383.664992886</v>
      </c>
      <c r="P173" s="97" t="str">
        <f t="shared" si="16"/>
        <v/>
      </c>
      <c r="Q173" s="67">
        <f t="shared" si="17"/>
        <v>5902.806292819344</v>
      </c>
    </row>
    <row r="174" spans="1:17" ht="12.75" customHeight="1" x14ac:dyDescent="0.35">
      <c r="A174" s="59">
        <v>15</v>
      </c>
      <c r="B174" s="60" t="s">
        <v>110</v>
      </c>
      <c r="C174" s="61">
        <f>Premissas!$C$83+0*(Premissas!$C$84-Premissas!$C$83)</f>
        <v>0.73399999999999999</v>
      </c>
      <c r="D174" s="62">
        <f>(1+Premissas!$C$26)^(14)</f>
        <v>2.9371936242576586</v>
      </c>
      <c r="E174" s="63">
        <f>Dimensionador!$C$22*(Premissas!$C$83+0*(Premissas!$C$84-Premissas!$C$83))*Premissas!$C$21*(1+Premissas!$C$26)^(14)</f>
        <v>40003.390610233066</v>
      </c>
      <c r="F174" s="63">
        <f>Dimensionador!$C$7*Premissas!$C$13*(Premissas!$C$83+0*(Premissas!$C$84-Premissas!$C$83))*Premissas!$C$20*(1+Premissas!$C$26)^(14)</f>
        <v>10833.053412157396</v>
      </c>
      <c r="G174" s="64">
        <f>Dimensionador!$C$7*Premissas!$C$25*(1+Premissas!$C$27)^(14)/12</f>
        <v>2773.0811622343699</v>
      </c>
      <c r="H174" s="65">
        <f>Premissas!$C$52*(1-Premissas!$C$32)^(14)</f>
        <v>51476.581906469401</v>
      </c>
      <c r="I174" s="65">
        <f>MIN(H174,Dimensionador!$C$7*Premissas!$C$13*(Premissas!$C$83+0*(Premissas!$C$84-Premissas!$C$83)))</f>
        <v>5892.103108249149</v>
      </c>
      <c r="J174" s="65">
        <f t="shared" si="12"/>
        <v>45584.478798220254</v>
      </c>
      <c r="K174" s="63">
        <f>Premissas!$C$35*(1+Premissas!$C$27)^(14)/12</f>
        <v>1496.8335818878702</v>
      </c>
      <c r="L174" s="63">
        <f>E174-F174+(I174+J174)*Premissas!$C$20*(1+Premissas!$C$26)^(14)</f>
        <v>123813.71852101124</v>
      </c>
      <c r="M174" s="63">
        <f t="shared" si="13"/>
        <v>119543.80377688899</v>
      </c>
      <c r="N174" s="63">
        <f t="shared" si="14"/>
        <v>10013427.46876977</v>
      </c>
      <c r="O174" s="63">
        <f t="shared" si="15"/>
        <v>12300927.468769774</v>
      </c>
      <c r="P174" s="66" t="str">
        <f t="shared" si="16"/>
        <v/>
      </c>
      <c r="Q174" s="67">
        <f t="shared" si="17"/>
        <v>5892.103108249149</v>
      </c>
    </row>
    <row r="175" spans="1:17" ht="12.75" customHeight="1" x14ac:dyDescent="0.35">
      <c r="A175" s="68">
        <v>15</v>
      </c>
      <c r="B175" s="60" t="s">
        <v>112</v>
      </c>
      <c r="C175" s="61">
        <f>Premissas!$C$83+0.0833333333*(Premissas!$C$84-Premissas!$C$83)</f>
        <v>0.73266666666720004</v>
      </c>
      <c r="D175" s="62">
        <f>(1+Premissas!$C$26)^(14)</f>
        <v>2.9371936242576586</v>
      </c>
      <c r="E175" s="63">
        <f>Dimensionador!$C$22*(Premissas!$C$83+0.0833333333*(Premissas!$C$84-Premissas!$C$83))*Premissas!$C$21*(1+Premissas!$C$26)^(14)</f>
        <v>39930.723234040102</v>
      </c>
      <c r="F175" s="63">
        <f>Dimensionador!$C$7*Premissas!$C$13*(Premissas!$C$83+0.0833333333*(Premissas!$C$84-Premissas!$C$83))*Premissas!$C$20*(1+Premissas!$C$26)^(14)</f>
        <v>10813.374841026018</v>
      </c>
      <c r="G175" s="64">
        <f>Dimensionador!$C$7*Premissas!$C$25*(1+Premissas!$C$27)^(14)/12</f>
        <v>2773.0811622343699</v>
      </c>
      <c r="H175" s="65">
        <f>Premissas!$C$53*(1-Premissas!$C$32)^(14)</f>
        <v>46494.97720584333</v>
      </c>
      <c r="I175" s="65">
        <f>MIN(H175,Dimensionador!$C$7*Premissas!$C$13*(Premissas!$C$83+0.0833333333*(Premissas!$C$84-Premissas!$C$83)))</f>
        <v>5881.3999236789541</v>
      </c>
      <c r="J175" s="65">
        <f t="shared" si="12"/>
        <v>40613.577282164377</v>
      </c>
      <c r="K175" s="63">
        <f>Premissas!$C$35*(1+Premissas!$C$27)^(14)/12</f>
        <v>1496.8335818878702</v>
      </c>
      <c r="L175" s="63">
        <f>E175-F175+(I175+J175)*Premissas!$C$20*(1+Premissas!$C$26)^(14)</f>
        <v>114601.69281373007</v>
      </c>
      <c r="M175" s="63">
        <f t="shared" si="13"/>
        <v>110331.77806960783</v>
      </c>
      <c r="N175" s="63">
        <f t="shared" si="14"/>
        <v>10123759.246839378</v>
      </c>
      <c r="O175" s="63">
        <f t="shared" si="15"/>
        <v>12411259.246839382</v>
      </c>
      <c r="P175" s="66" t="str">
        <f t="shared" si="16"/>
        <v/>
      </c>
      <c r="Q175" s="67">
        <f t="shared" si="17"/>
        <v>5881.3999236789541</v>
      </c>
    </row>
    <row r="176" spans="1:17" ht="12.75" customHeight="1" x14ac:dyDescent="0.35">
      <c r="A176" s="68">
        <v>15</v>
      </c>
      <c r="B176" s="60" t="s">
        <v>113</v>
      </c>
      <c r="C176" s="61">
        <f>Premissas!$C$83+0.1666666667*(Premissas!$C$84-Premissas!$C$83)</f>
        <v>0.73133333333279993</v>
      </c>
      <c r="D176" s="62">
        <f>(1+Premissas!$C$26)^(14)</f>
        <v>2.9371936242576586</v>
      </c>
      <c r="E176" s="63">
        <f>Dimensionador!$C$22*(Premissas!$C$83+0.1666666667*(Premissas!$C$84-Premissas!$C$83))*Premissas!$C$21*(1+Premissas!$C$26)^(14)</f>
        <v>39858.055857759915</v>
      </c>
      <c r="F176" s="63">
        <f>Dimensionador!$C$7*Premissas!$C$13*(Premissas!$C$83+0.1666666667*(Premissas!$C$84-Premissas!$C$83))*Premissas!$C$20*(1+Premissas!$C$26)^(14)</f>
        <v>10793.696269871025</v>
      </c>
      <c r="G176" s="64">
        <f>Dimensionador!$C$7*Premissas!$C$25*(1+Premissas!$C$27)^(14)/12</f>
        <v>2773.0811622343699</v>
      </c>
      <c r="H176" s="65">
        <f>Premissas!$C$54*(1-Premissas!$C$32)^(14)</f>
        <v>51476.581906469401</v>
      </c>
      <c r="I176" s="65">
        <f>MIN(H176,Dimensionador!$C$7*Premissas!$C$13*(Premissas!$C$83+0.1666666667*(Premissas!$C$84-Premissas!$C$83)))</f>
        <v>5870.6967390959153</v>
      </c>
      <c r="J176" s="65">
        <f t="shared" si="12"/>
        <v>45605.885167373483</v>
      </c>
      <c r="K176" s="63">
        <f>Premissas!$C$35*(1+Premissas!$C$27)^(14)/12</f>
        <v>1496.8335818878702</v>
      </c>
      <c r="L176" s="63">
        <f>E176-F176+(I176+J176)*Premissas!$C$20*(1+Premissas!$C$26)^(14)</f>
        <v>123707.74091082445</v>
      </c>
      <c r="M176" s="63">
        <f t="shared" si="13"/>
        <v>119437.8261667022</v>
      </c>
      <c r="N176" s="63">
        <f t="shared" si="14"/>
        <v>10243197.07300608</v>
      </c>
      <c r="O176" s="63">
        <f t="shared" si="15"/>
        <v>12530697.073006084</v>
      </c>
      <c r="P176" s="66" t="str">
        <f t="shared" si="16"/>
        <v/>
      </c>
      <c r="Q176" s="67">
        <f t="shared" si="17"/>
        <v>5870.6967390959153</v>
      </c>
    </row>
    <row r="177" spans="1:17" ht="12.75" customHeight="1" x14ac:dyDescent="0.35">
      <c r="A177" s="68">
        <v>15</v>
      </c>
      <c r="B177" s="60" t="s">
        <v>114</v>
      </c>
      <c r="C177" s="61">
        <f>Premissas!$C$83+0.25*(Premissas!$C$84-Premissas!$C$83)</f>
        <v>0.73</v>
      </c>
      <c r="D177" s="62">
        <f>(1+Premissas!$C$26)^(14)</f>
        <v>2.9371936242576586</v>
      </c>
      <c r="E177" s="63">
        <f>Dimensionador!$C$22*(Premissas!$C$83+0.25*(Premissas!$C$84-Premissas!$C$83))*Premissas!$C$21*(1+Premissas!$C$26)^(14)</f>
        <v>39785.388481566952</v>
      </c>
      <c r="F177" s="63">
        <f>Dimensionador!$C$7*Premissas!$C$13*(Premissas!$C$83+0.25*(Premissas!$C$84-Premissas!$C$83))*Premissas!$C$20*(1+Premissas!$C$26)^(14)</f>
        <v>10774.017698739646</v>
      </c>
      <c r="G177" s="64">
        <f>Dimensionador!$C$7*Premissas!$C$25*(1+Premissas!$C$27)^(14)/12</f>
        <v>2773.0811622343699</v>
      </c>
      <c r="H177" s="65">
        <f>Premissas!$C$55*(1-Premissas!$C$32)^(14)</f>
        <v>49816.047006260713</v>
      </c>
      <c r="I177" s="65">
        <f>MIN(H177,Dimensionador!$C$7*Premissas!$C$13*(Premissas!$C$83+0.25*(Premissas!$C$84-Premissas!$C$83)))</f>
        <v>5859.9935545257204</v>
      </c>
      <c r="J177" s="65">
        <f t="shared" si="12"/>
        <v>43956.053451734995</v>
      </c>
      <c r="K177" s="63">
        <f>Premissas!$C$35*(1+Premissas!$C$27)^(14)/12</f>
        <v>1496.8335818878702</v>
      </c>
      <c r="L177" s="63">
        <f>E177-F177+(I177+J177)*Premissas!$C$20*(1+Premissas!$C$26)^(14)</f>
        <v>120601.73980502301</v>
      </c>
      <c r="M177" s="63">
        <f t="shared" si="13"/>
        <v>116331.82506090077</v>
      </c>
      <c r="N177" s="63">
        <f t="shared" si="14"/>
        <v>10359528.898066981</v>
      </c>
      <c r="O177" s="63">
        <f t="shared" si="15"/>
        <v>12647028.898066984</v>
      </c>
      <c r="P177" s="66" t="str">
        <f t="shared" si="16"/>
        <v/>
      </c>
      <c r="Q177" s="67">
        <f t="shared" si="17"/>
        <v>5859.9935545257204</v>
      </c>
    </row>
    <row r="178" spans="1:17" ht="12.75" customHeight="1" x14ac:dyDescent="0.35">
      <c r="A178" s="68">
        <v>15</v>
      </c>
      <c r="B178" s="60" t="s">
        <v>115</v>
      </c>
      <c r="C178" s="61">
        <f>Premissas!$C$83+0.3333333333*(Premissas!$C$84-Premissas!$C$83)</f>
        <v>0.72866666666720004</v>
      </c>
      <c r="D178" s="62">
        <f>(1+Premissas!$C$26)^(14)</f>
        <v>2.9371936242576586</v>
      </c>
      <c r="E178" s="63">
        <f>Dimensionador!$C$22*(Premissas!$C$83+0.3333333333*(Premissas!$C$84-Premissas!$C$83))*Premissas!$C$21*(1+Premissas!$C$26)^(14)</f>
        <v>39712.721105373981</v>
      </c>
      <c r="F178" s="63">
        <f>Dimensionador!$C$7*Premissas!$C$13*(Premissas!$C$83+0.3333333333*(Premissas!$C$84-Premissas!$C$83))*Premissas!$C$20*(1+Premissas!$C$26)^(14)</f>
        <v>10754.339127608268</v>
      </c>
      <c r="G178" s="64">
        <f>Dimensionador!$C$7*Premissas!$C$25*(1+Premissas!$C$27)^(14)/12</f>
        <v>2773.0811622343699</v>
      </c>
      <c r="H178" s="65">
        <f>Premissas!$C$56*(1-Premissas!$C$32)^(14)</f>
        <v>51476.581906469401</v>
      </c>
      <c r="I178" s="65">
        <f>MIN(H178,Dimensionador!$C$7*Premissas!$C$13*(Premissas!$C$83+0.3333333333*(Premissas!$C$84-Premissas!$C$83)))</f>
        <v>5849.2903699555263</v>
      </c>
      <c r="J178" s="65">
        <f t="shared" si="12"/>
        <v>45627.291536513876</v>
      </c>
      <c r="K178" s="63">
        <f>Premissas!$C$35*(1+Premissas!$C$27)^(14)/12</f>
        <v>1496.8335818878702</v>
      </c>
      <c r="L178" s="63">
        <f>E178-F178+(I178+J178)*Premissas!$C$20*(1+Premissas!$C$26)^(14)</f>
        <v>123601.76330070128</v>
      </c>
      <c r="M178" s="63">
        <f t="shared" si="13"/>
        <v>119331.84855657903</v>
      </c>
      <c r="N178" s="63">
        <f t="shared" si="14"/>
        <v>10478860.746623559</v>
      </c>
      <c r="O178" s="63">
        <f t="shared" si="15"/>
        <v>12766360.746623563</v>
      </c>
      <c r="P178" s="66" t="str">
        <f t="shared" si="16"/>
        <v/>
      </c>
      <c r="Q178" s="67">
        <f t="shared" si="17"/>
        <v>5849.2903699555263</v>
      </c>
    </row>
    <row r="179" spans="1:17" ht="12.75" customHeight="1" x14ac:dyDescent="0.35">
      <c r="A179" s="68">
        <v>15</v>
      </c>
      <c r="B179" s="60" t="s">
        <v>116</v>
      </c>
      <c r="C179" s="61">
        <f>Premissas!$C$83+0.4166666667*(Premissas!$C$84-Premissas!$C$83)</f>
        <v>0.72733333333279993</v>
      </c>
      <c r="D179" s="62">
        <f>(1+Premissas!$C$26)^(14)</f>
        <v>2.9371936242576586</v>
      </c>
      <c r="E179" s="63">
        <f>Dimensionador!$C$22*(Premissas!$C$83+0.4166666667*(Premissas!$C$84-Premissas!$C$83))*Premissas!$C$21*(1+Premissas!$C$26)^(14)</f>
        <v>39640.053729093794</v>
      </c>
      <c r="F179" s="63">
        <f>Dimensionador!$C$7*Premissas!$C$13*(Premissas!$C$83+0.4166666667*(Premissas!$C$84-Premissas!$C$83))*Premissas!$C$20*(1+Premissas!$C$26)^(14)</f>
        <v>10734.660556453273</v>
      </c>
      <c r="G179" s="64">
        <f>Dimensionador!$C$7*Premissas!$C$25*(1+Premissas!$C$27)^(14)/12</f>
        <v>2773.0811622343699</v>
      </c>
      <c r="H179" s="65">
        <f>Premissas!$C$57*(1-Premissas!$C$32)^(14)</f>
        <v>49816.047006260713</v>
      </c>
      <c r="I179" s="65">
        <f>MIN(H179,Dimensionador!$C$7*Premissas!$C$13*(Premissas!$C$83+0.4166666667*(Premissas!$C$84-Premissas!$C$83)))</f>
        <v>5838.5871853724866</v>
      </c>
      <c r="J179" s="65">
        <f t="shared" si="12"/>
        <v>43977.459820888223</v>
      </c>
      <c r="K179" s="63">
        <f>Premissas!$C$35*(1+Premissas!$C$27)^(14)/12</f>
        <v>1496.8335818878702</v>
      </c>
      <c r="L179" s="63">
        <f>E179-F179+(I179+J179)*Premissas!$C$20*(1+Premissas!$C$26)^(14)</f>
        <v>120495.76219483622</v>
      </c>
      <c r="M179" s="63">
        <f t="shared" si="13"/>
        <v>116225.84745071398</v>
      </c>
      <c r="N179" s="63">
        <f t="shared" si="14"/>
        <v>10595086.594074273</v>
      </c>
      <c r="O179" s="63">
        <f t="shared" si="15"/>
        <v>12882586.594074277</v>
      </c>
      <c r="P179" s="66" t="str">
        <f t="shared" si="16"/>
        <v/>
      </c>
      <c r="Q179" s="67">
        <f t="shared" si="17"/>
        <v>5838.5871853724866</v>
      </c>
    </row>
    <row r="180" spans="1:17" ht="12.75" customHeight="1" x14ac:dyDescent="0.35">
      <c r="A180" s="68">
        <v>15</v>
      </c>
      <c r="B180" s="60" t="s">
        <v>117</v>
      </c>
      <c r="C180" s="61">
        <f>Premissas!$C$83+0.5*(Premissas!$C$84-Premissas!$C$83)</f>
        <v>0.72599999999999998</v>
      </c>
      <c r="D180" s="62">
        <f>(1+Premissas!$C$26)^(14)</f>
        <v>2.9371936242576586</v>
      </c>
      <c r="E180" s="63">
        <f>Dimensionador!$C$22*(Premissas!$C$83+0.5*(Premissas!$C$84-Premissas!$C$83))*Premissas!$C$21*(1+Premissas!$C$26)^(14)</f>
        <v>39567.38635290083</v>
      </c>
      <c r="F180" s="63">
        <f>Dimensionador!$C$7*Premissas!$C$13*(Premissas!$C$83+0.5*(Premissas!$C$84-Premissas!$C$83))*Premissas!$C$20*(1+Premissas!$C$26)^(14)</f>
        <v>10714.981985321894</v>
      </c>
      <c r="G180" s="64">
        <f>Dimensionador!$C$7*Premissas!$C$25*(1+Premissas!$C$27)^(14)/12</f>
        <v>2773.0811622343699</v>
      </c>
      <c r="H180" s="65">
        <f>Premissas!$C$58*(1-Premissas!$C$32)^(14)</f>
        <v>51476.581906469401</v>
      </c>
      <c r="I180" s="65">
        <f>MIN(H180,Dimensionador!$C$7*Premissas!$C$13*(Premissas!$C$83+0.5*(Premissas!$C$84-Premissas!$C$83)))</f>
        <v>5827.8840008022917</v>
      </c>
      <c r="J180" s="65">
        <f t="shared" si="12"/>
        <v>45648.697905667112</v>
      </c>
      <c r="K180" s="63">
        <f>Premissas!$C$35*(1+Premissas!$C$27)^(14)/12</f>
        <v>1496.8335818878702</v>
      </c>
      <c r="L180" s="63">
        <f>E180-F180+(I180+J180)*Premissas!$C$20*(1+Premissas!$C$26)^(14)</f>
        <v>123495.78569051449</v>
      </c>
      <c r="M180" s="63">
        <f t="shared" si="13"/>
        <v>119225.87094639224</v>
      </c>
      <c r="N180" s="63">
        <f t="shared" si="14"/>
        <v>10714312.465020666</v>
      </c>
      <c r="O180" s="63">
        <f t="shared" si="15"/>
        <v>13001812.46502067</v>
      </c>
      <c r="P180" s="66" t="str">
        <f t="shared" si="16"/>
        <v/>
      </c>
      <c r="Q180" s="67">
        <f t="shared" si="17"/>
        <v>5827.8840008022917</v>
      </c>
    </row>
    <row r="181" spans="1:17" ht="12.75" customHeight="1" x14ac:dyDescent="0.35">
      <c r="A181" s="68">
        <v>15</v>
      </c>
      <c r="B181" s="60" t="s">
        <v>118</v>
      </c>
      <c r="C181" s="61">
        <f>Premissas!$C$83+0.5833333333*(Premissas!$C$84-Premissas!$C$83)</f>
        <v>0.72466666666719992</v>
      </c>
      <c r="D181" s="62">
        <f>(1+Premissas!$C$26)^(14)</f>
        <v>2.9371936242576586</v>
      </c>
      <c r="E181" s="63">
        <f>Dimensionador!$C$22*(Premissas!$C$83+0.5833333333*(Premissas!$C$84-Premissas!$C$83))*Premissas!$C$21*(1+Premissas!$C$26)^(14)</f>
        <v>39494.718976707853</v>
      </c>
      <c r="F181" s="63">
        <f>Dimensionador!$C$7*Premissas!$C$13*(Premissas!$C$83+0.5833333333*(Premissas!$C$84-Premissas!$C$83))*Premissas!$C$20*(1+Premissas!$C$26)^(14)</f>
        <v>10695.303414190514</v>
      </c>
      <c r="G181" s="64">
        <f>Dimensionador!$C$7*Premissas!$C$25*(1+Premissas!$C$27)^(14)/12</f>
        <v>2773.0811622343699</v>
      </c>
      <c r="H181" s="65">
        <f>Premissas!$C$59*(1-Premissas!$C$32)^(14)</f>
        <v>51476.581906469401</v>
      </c>
      <c r="I181" s="65">
        <f>MIN(H181,Dimensionador!$C$7*Premissas!$C$13*(Premissas!$C$83+0.5833333333*(Premissas!$C$84-Premissas!$C$83)))</f>
        <v>5817.1808162320967</v>
      </c>
      <c r="J181" s="65">
        <f t="shared" si="12"/>
        <v>45659.401090237305</v>
      </c>
      <c r="K181" s="63">
        <f>Premissas!$C$35*(1+Premissas!$C$27)^(14)/12</f>
        <v>1496.8335818878702</v>
      </c>
      <c r="L181" s="63">
        <f>E181-F181+(I181+J181)*Premissas!$C$20*(1+Premissas!$C$26)^(14)</f>
        <v>123442.7968854529</v>
      </c>
      <c r="M181" s="63">
        <f t="shared" si="13"/>
        <v>119172.88214133066</v>
      </c>
      <c r="N181" s="63">
        <f t="shared" si="14"/>
        <v>10833485.347161997</v>
      </c>
      <c r="O181" s="63">
        <f t="shared" si="15"/>
        <v>13120985.347162001</v>
      </c>
      <c r="P181" s="66" t="str">
        <f t="shared" si="16"/>
        <v/>
      </c>
      <c r="Q181" s="67">
        <f t="shared" si="17"/>
        <v>5817.1808162320967</v>
      </c>
    </row>
    <row r="182" spans="1:17" ht="12.75" customHeight="1" x14ac:dyDescent="0.35">
      <c r="A182" s="68">
        <v>15</v>
      </c>
      <c r="B182" s="60" t="s">
        <v>119</v>
      </c>
      <c r="C182" s="61">
        <f>Premissas!$C$83+0.6666666667*(Premissas!$C$84-Premissas!$C$83)</f>
        <v>0.72333333333280003</v>
      </c>
      <c r="D182" s="62">
        <f>(1+Premissas!$C$26)^(14)</f>
        <v>2.9371936242576586</v>
      </c>
      <c r="E182" s="63">
        <f>Dimensionador!$C$22*(Premissas!$C$83+0.6666666667*(Premissas!$C$84-Premissas!$C$83))*Premissas!$C$21*(1+Premissas!$C$26)^(14)</f>
        <v>39422.051600427687</v>
      </c>
      <c r="F182" s="63">
        <f>Dimensionador!$C$7*Premissas!$C$13*(Premissas!$C$83+0.6666666667*(Premissas!$C$84-Premissas!$C$83))*Premissas!$C$20*(1+Premissas!$C$26)^(14)</f>
        <v>10675.624843035523</v>
      </c>
      <c r="G182" s="64">
        <f>Dimensionador!$C$7*Premissas!$C$25*(1+Premissas!$C$27)^(14)/12</f>
        <v>2773.0811622343699</v>
      </c>
      <c r="H182" s="65">
        <f>Premissas!$C$60*(1-Premissas!$C$32)^(14)</f>
        <v>49816.047006260713</v>
      </c>
      <c r="I182" s="65">
        <f>MIN(H182,Dimensionador!$C$7*Premissas!$C$13*(Premissas!$C$83+0.6666666667*(Premissas!$C$84-Premissas!$C$83)))</f>
        <v>5806.4776316490588</v>
      </c>
      <c r="J182" s="65">
        <f t="shared" si="12"/>
        <v>44009.569374611652</v>
      </c>
      <c r="K182" s="63">
        <f>Premissas!$C$35*(1+Premissas!$C$27)^(14)/12</f>
        <v>1496.8335818878702</v>
      </c>
      <c r="L182" s="63">
        <f>E182-F182+(I182+J182)*Premissas!$C$20*(1+Premissas!$C$26)^(14)</f>
        <v>120336.79577958788</v>
      </c>
      <c r="M182" s="63">
        <f t="shared" si="13"/>
        <v>116066.88103546563</v>
      </c>
      <c r="N182" s="63">
        <f t="shared" si="14"/>
        <v>10949552.228197463</v>
      </c>
      <c r="O182" s="63">
        <f t="shared" si="15"/>
        <v>13237052.228197467</v>
      </c>
      <c r="P182" s="66" t="str">
        <f t="shared" si="16"/>
        <v/>
      </c>
      <c r="Q182" s="67">
        <f t="shared" si="17"/>
        <v>5806.4776316490588</v>
      </c>
    </row>
    <row r="183" spans="1:17" ht="12.75" customHeight="1" x14ac:dyDescent="0.35">
      <c r="A183" s="68">
        <v>15</v>
      </c>
      <c r="B183" s="60" t="s">
        <v>120</v>
      </c>
      <c r="C183" s="61">
        <f>Premissas!$C$83+0.75*(Premissas!$C$84-Premissas!$C$83)</f>
        <v>0.72199999999999998</v>
      </c>
      <c r="D183" s="62">
        <f>(1+Premissas!$C$26)^(14)</f>
        <v>2.9371936242576586</v>
      </c>
      <c r="E183" s="63">
        <f>Dimensionador!$C$22*(Premissas!$C$83+0.75*(Premissas!$C$84-Premissas!$C$83))*Premissas!$C$21*(1+Premissas!$C$26)^(14)</f>
        <v>39349.384224234709</v>
      </c>
      <c r="F183" s="63">
        <f>Dimensionador!$C$7*Premissas!$C$13*(Premissas!$C$83+0.75*(Premissas!$C$84-Premissas!$C$83))*Premissas!$C$20*(1+Premissas!$C$26)^(14)</f>
        <v>10655.946271904142</v>
      </c>
      <c r="G183" s="64">
        <f>Dimensionador!$C$7*Premissas!$C$25*(1+Premissas!$C$27)^(14)/12</f>
        <v>2773.0811622343699</v>
      </c>
      <c r="H183" s="65">
        <f>Premissas!$C$61*(1-Premissas!$C$32)^(14)</f>
        <v>51476.581906469401</v>
      </c>
      <c r="I183" s="65">
        <f>MIN(H183,Dimensionador!$C$7*Premissas!$C$13*(Premissas!$C$83+0.75*(Premissas!$C$84-Premissas!$C$83)))</f>
        <v>5795.774447078863</v>
      </c>
      <c r="J183" s="65">
        <f t="shared" si="12"/>
        <v>45680.80745939054</v>
      </c>
      <c r="K183" s="63">
        <f>Premissas!$C$35*(1+Premissas!$C$27)^(14)/12</f>
        <v>1496.8335818878702</v>
      </c>
      <c r="L183" s="63">
        <f>E183-F183+(I183+J183)*Premissas!$C$20*(1+Premissas!$C$26)^(14)</f>
        <v>123336.81927526613</v>
      </c>
      <c r="M183" s="63">
        <f t="shared" si="13"/>
        <v>119066.90453114388</v>
      </c>
      <c r="N183" s="63">
        <f t="shared" si="14"/>
        <v>11068619.132728606</v>
      </c>
      <c r="O183" s="63">
        <f t="shared" si="15"/>
        <v>13356119.13272861</v>
      </c>
      <c r="P183" s="66" t="str">
        <f t="shared" si="16"/>
        <v/>
      </c>
      <c r="Q183" s="67">
        <f t="shared" si="17"/>
        <v>5795.774447078863</v>
      </c>
    </row>
    <row r="184" spans="1:17" ht="12.75" customHeight="1" x14ac:dyDescent="0.35">
      <c r="A184" s="68">
        <v>15</v>
      </c>
      <c r="B184" s="60" t="s">
        <v>121</v>
      </c>
      <c r="C184" s="61">
        <f>Premissas!$C$83+0.8333333333*(Premissas!$C$84-Premissas!$C$83)</f>
        <v>0.72066666666719992</v>
      </c>
      <c r="D184" s="62">
        <f>(1+Premissas!$C$26)^(14)</f>
        <v>2.9371936242576586</v>
      </c>
      <c r="E184" s="63">
        <f>Dimensionador!$C$22*(Premissas!$C$83+0.8333333333*(Premissas!$C$84-Premissas!$C$83))*Premissas!$C$21*(1+Premissas!$C$26)^(14)</f>
        <v>39276.716848041731</v>
      </c>
      <c r="F184" s="63">
        <f>Dimensionador!$C$7*Premissas!$C$13*(Premissas!$C$83+0.8333333333*(Premissas!$C$84-Premissas!$C$83))*Premissas!$C$20*(1+Premissas!$C$26)^(14)</f>
        <v>10636.267700772763</v>
      </c>
      <c r="G184" s="64">
        <f>Dimensionador!$C$7*Premissas!$C$25*(1+Premissas!$C$27)^(14)/12</f>
        <v>2773.0811622343699</v>
      </c>
      <c r="H184" s="65">
        <f>Premissas!$C$62*(1-Premissas!$C$32)^(14)</f>
        <v>49816.047006260713</v>
      </c>
      <c r="I184" s="65">
        <f>MIN(H184,Dimensionador!$C$7*Premissas!$C$13*(Premissas!$C$83+0.8333333333*(Premissas!$C$84-Premissas!$C$83)))</f>
        <v>5785.071262508668</v>
      </c>
      <c r="J184" s="65">
        <f t="shared" si="12"/>
        <v>44030.975743752046</v>
      </c>
      <c r="K184" s="63">
        <f>Premissas!$C$35*(1+Premissas!$C$27)^(14)/12</f>
        <v>1496.8335818878702</v>
      </c>
      <c r="L184" s="63">
        <f>E184-F184+(I184+J184)*Premissas!$C$20*(1+Premissas!$C$26)^(14)</f>
        <v>120230.81816946468</v>
      </c>
      <c r="M184" s="63">
        <f t="shared" si="13"/>
        <v>115960.90342534243</v>
      </c>
      <c r="N184" s="63">
        <f t="shared" si="14"/>
        <v>11184580.03615395</v>
      </c>
      <c r="O184" s="63">
        <f t="shared" si="15"/>
        <v>13472080.036153954</v>
      </c>
      <c r="P184" s="66" t="str">
        <f t="shared" si="16"/>
        <v/>
      </c>
      <c r="Q184" s="67">
        <f t="shared" si="17"/>
        <v>5785.071262508668</v>
      </c>
    </row>
    <row r="185" spans="1:17" ht="12.75" customHeight="1" x14ac:dyDescent="0.35">
      <c r="A185" s="69">
        <v>15</v>
      </c>
      <c r="B185" s="70" t="s">
        <v>122</v>
      </c>
      <c r="C185" s="71">
        <f>Premissas!$C$83+0.9166666667*(Premissas!$C$84-Premissas!$C$83)</f>
        <v>0.71933333333280003</v>
      </c>
      <c r="D185" s="72">
        <f>(1+Premissas!$C$26)^(14)</f>
        <v>2.9371936242576586</v>
      </c>
      <c r="E185" s="73">
        <f>Dimensionador!$C$22*(Premissas!$C$83+0.9166666667*(Premissas!$C$84-Premissas!$C$83))*Premissas!$C$21*(1+Premissas!$C$26)^(14)</f>
        <v>39204.049471761566</v>
      </c>
      <c r="F185" s="73">
        <f>Dimensionador!$C$7*Premissas!$C$13*(Premissas!$C$83+0.9166666667*(Premissas!$C$84-Premissas!$C$83))*Premissas!$C$20*(1+Premissas!$C$26)^(14)</f>
        <v>10616.589129617771</v>
      </c>
      <c r="G185" s="74">
        <f>Dimensionador!$C$7*Premissas!$C$25*(1+Premissas!$C$27)^(14)/12</f>
        <v>2773.0811622343699</v>
      </c>
      <c r="H185" s="75">
        <f>Premissas!$C$63*(1-Premissas!$C$32)^(14)</f>
        <v>51476.581906469401</v>
      </c>
      <c r="I185" s="76">
        <f>MIN(H185,Dimensionador!$C$7*Premissas!$C$13*(Premissas!$C$83+0.9166666667*(Premissas!$C$84-Premissas!$C$83)))</f>
        <v>5774.3680779256301</v>
      </c>
      <c r="J185" s="75">
        <f t="shared" si="12"/>
        <v>45702.213828543769</v>
      </c>
      <c r="K185" s="77">
        <f>Premissas!$C$35*(1+Premissas!$C$27)^(14)/12</f>
        <v>1496.8335818878702</v>
      </c>
      <c r="L185" s="73">
        <f>E185-F185+(I185+J185)*Premissas!$C$20*(1+Premissas!$C$26)^(14)</f>
        <v>123230.84166507935</v>
      </c>
      <c r="M185" s="77">
        <f t="shared" si="13"/>
        <v>118960.92692095711</v>
      </c>
      <c r="N185" s="77">
        <f t="shared" si="14"/>
        <v>11303540.963074908</v>
      </c>
      <c r="O185" s="77">
        <f t="shared" si="15"/>
        <v>13591040.963074911</v>
      </c>
      <c r="P185" s="78" t="str">
        <f t="shared" si="16"/>
        <v/>
      </c>
      <c r="Q185" s="67">
        <f t="shared" si="17"/>
        <v>5774.3680779256301</v>
      </c>
    </row>
    <row r="186" spans="1:17" ht="12.75" customHeight="1" x14ac:dyDescent="0.35">
      <c r="A186" s="79">
        <v>16</v>
      </c>
      <c r="B186" s="80" t="s">
        <v>110</v>
      </c>
      <c r="C186" s="81">
        <f>Premissas!$C$84+0*(Premissas!$C$85-Premissas!$C$84)</f>
        <v>0.71799999999999997</v>
      </c>
      <c r="D186" s="82">
        <f>(1+Premissas!$C$26)^(15)</f>
        <v>3.1721691141982715</v>
      </c>
      <c r="E186" s="83">
        <f>Dimensionador!$C$22*(Premissas!$C$84+0*(Premissas!$C$85-Premissas!$C$84))*Premissas!$C$21*(1+Premissas!$C$26)^(15)</f>
        <v>42261.892663214079</v>
      </c>
      <c r="F186" s="83">
        <f>Dimensionador!$C$7*Premissas!$C$13*(Premissas!$C$84+0*(Premissas!$C$85-Premissas!$C$84))*Premissas!$C$20*(1+Premissas!$C$26)^(15)</f>
        <v>11444.663403165303</v>
      </c>
      <c r="G186" s="84">
        <f>Dimensionador!$C$7*Premissas!$C$25*(1+Premissas!$C$27)^(15)/12</f>
        <v>2856.2735971014013</v>
      </c>
      <c r="H186" s="85">
        <f>Premissas!$C$52*(1-Premissas!$C$32)^(15)</f>
        <v>51219.198996937055</v>
      </c>
      <c r="I186" s="85">
        <f>MIN(H186,Dimensionador!$C$7*Premissas!$C$13*(Premissas!$C$84+0*(Premissas!$C$85-Premissas!$C$84)))</f>
        <v>5763.6648933554343</v>
      </c>
      <c r="J186" s="85">
        <f t="shared" si="12"/>
        <v>45455.534103581624</v>
      </c>
      <c r="K186" s="83">
        <f>Premissas!$C$35*(1+Premissas!$C$27)^(15)/12</f>
        <v>1541.7385893445064</v>
      </c>
      <c r="L186" s="83">
        <f>E186-F186+(I186+J186)*Premissas!$C$20*(1+Premissas!$C$26)^(15)</f>
        <v>132521.00682967535</v>
      </c>
      <c r="M186" s="83">
        <f t="shared" si="13"/>
        <v>128122.99464322944</v>
      </c>
      <c r="N186" s="83">
        <f t="shared" si="14"/>
        <v>11431663.957718138</v>
      </c>
      <c r="O186" s="83">
        <f t="shared" si="15"/>
        <v>13719163.957718141</v>
      </c>
      <c r="P186" s="86" t="str">
        <f t="shared" si="16"/>
        <v/>
      </c>
      <c r="Q186" s="67">
        <f t="shared" si="17"/>
        <v>5763.6648933554343</v>
      </c>
    </row>
    <row r="187" spans="1:17" ht="12.75" customHeight="1" x14ac:dyDescent="0.35">
      <c r="A187" s="87">
        <v>16</v>
      </c>
      <c r="B187" s="80" t="s">
        <v>112</v>
      </c>
      <c r="C187" s="81">
        <f>Premissas!$C$84+0.0833333333*(Premissas!$C$85-Premissas!$C$84)</f>
        <v>0.71675000000049993</v>
      </c>
      <c r="D187" s="82">
        <f>(1+Premissas!$C$26)^(15)</f>
        <v>3.1721691141982715</v>
      </c>
      <c r="E187" s="83">
        <f>Dimensionador!$C$22*(Premissas!$C$84+0.0833333333*(Premissas!$C$85-Premissas!$C$84))*Premissas!$C$21*(1+Premissas!$C$26)^(15)</f>
        <v>42188.316944818689</v>
      </c>
      <c r="F187" s="83">
        <f>Dimensionador!$C$7*Premissas!$C$13*(Premissas!$C$84+0.0833333333*(Premissas!$C$85-Premissas!$C$84))*Premissas!$C$20*(1+Premissas!$C$26)^(15)</f>
        <v>11424.738849894782</v>
      </c>
      <c r="G187" s="84">
        <f>Dimensionador!$C$7*Premissas!$C$25*(1+Premissas!$C$27)^(15)/12</f>
        <v>2856.2735971014013</v>
      </c>
      <c r="H187" s="85">
        <f>Premissas!$C$53*(1-Premissas!$C$32)^(15)</f>
        <v>46262.502319814113</v>
      </c>
      <c r="I187" s="85">
        <f>MIN(H187,Dimensionador!$C$7*Premissas!$C$13*(Premissas!$C$84+0.0833333333*(Premissas!$C$85-Premissas!$C$84)))</f>
        <v>5753.6306578208769</v>
      </c>
      <c r="J187" s="85">
        <f t="shared" si="12"/>
        <v>40508.871661993238</v>
      </c>
      <c r="K187" s="83">
        <f>Premissas!$C$35*(1+Premissas!$C$27)^(15)/12</f>
        <v>1541.7385893445064</v>
      </c>
      <c r="L187" s="83">
        <f>E187-F187+(I187+J187)*Premissas!$C$20*(1+Premissas!$C$26)^(15)</f>
        <v>122625.05460942531</v>
      </c>
      <c r="M187" s="83">
        <f t="shared" si="13"/>
        <v>118227.0424229794</v>
      </c>
      <c r="N187" s="83">
        <f t="shared" si="14"/>
        <v>11549891.000141118</v>
      </c>
      <c r="O187" s="83">
        <f t="shared" si="15"/>
        <v>13837391.000141121</v>
      </c>
      <c r="P187" s="86" t="str">
        <f t="shared" si="16"/>
        <v/>
      </c>
      <c r="Q187" s="67">
        <f t="shared" si="17"/>
        <v>5753.6306578208769</v>
      </c>
    </row>
    <row r="188" spans="1:17" ht="12.75" customHeight="1" x14ac:dyDescent="0.35">
      <c r="A188" s="87">
        <v>16</v>
      </c>
      <c r="B188" s="80" t="s">
        <v>113</v>
      </c>
      <c r="C188" s="81">
        <f>Premissas!$C$84+0.1666666667*(Premissas!$C$85-Premissas!$C$84)</f>
        <v>0.71549999999949998</v>
      </c>
      <c r="D188" s="82">
        <f>(1+Premissas!$C$26)^(15)</f>
        <v>3.1721691141982715</v>
      </c>
      <c r="E188" s="83">
        <f>Dimensionador!$C$22*(Premissas!$C$84+0.1666666667*(Premissas!$C$85-Premissas!$C$84))*Premissas!$C$21*(1+Premissas!$C$26)^(15)</f>
        <v>42114.74122633502</v>
      </c>
      <c r="F188" s="83">
        <f>Dimensionador!$C$7*Premissas!$C$13*(Premissas!$C$84+0.1666666667*(Premissas!$C$85-Premissas!$C$84))*Premissas!$C$20*(1+Premissas!$C$26)^(15)</f>
        <v>11404.814296600351</v>
      </c>
      <c r="G188" s="84">
        <f>Dimensionador!$C$7*Premissas!$C$25*(1+Premissas!$C$27)^(15)/12</f>
        <v>2856.2735971014013</v>
      </c>
      <c r="H188" s="85">
        <f>Premissas!$C$54*(1-Premissas!$C$32)^(15)</f>
        <v>51219.198996937055</v>
      </c>
      <c r="I188" s="85">
        <f>MIN(H188,Dimensionador!$C$7*Premissas!$C$13*(Premissas!$C$84+0.1666666667*(Premissas!$C$85-Premissas!$C$84)))</f>
        <v>5743.5964222742778</v>
      </c>
      <c r="J188" s="85">
        <f t="shared" si="12"/>
        <v>45475.602574662778</v>
      </c>
      <c r="K188" s="83">
        <f>Premissas!$C$35*(1+Premissas!$C$27)^(15)/12</f>
        <v>1541.7385893445064</v>
      </c>
      <c r="L188" s="83">
        <f>E188-F188+(I188+J188)*Premissas!$C$20*(1+Premissas!$C$26)^(15)</f>
        <v>132413.70449936122</v>
      </c>
      <c r="M188" s="83">
        <f t="shared" si="13"/>
        <v>128015.69231291531</v>
      </c>
      <c r="N188" s="83">
        <f t="shared" si="14"/>
        <v>11677906.692454033</v>
      </c>
      <c r="O188" s="83">
        <f t="shared" si="15"/>
        <v>13965406.692454036</v>
      </c>
      <c r="P188" s="86" t="str">
        <f t="shared" si="16"/>
        <v/>
      </c>
      <c r="Q188" s="67">
        <f t="shared" si="17"/>
        <v>5743.5964222742778</v>
      </c>
    </row>
    <row r="189" spans="1:17" ht="12.75" customHeight="1" x14ac:dyDescent="0.35">
      <c r="A189" s="87">
        <v>16</v>
      </c>
      <c r="B189" s="80" t="s">
        <v>114</v>
      </c>
      <c r="C189" s="81">
        <f>Premissas!$C$84+0.25*(Premissas!$C$85-Premissas!$C$84)</f>
        <v>0.71424999999999994</v>
      </c>
      <c r="D189" s="82">
        <f>(1+Premissas!$C$26)^(15)</f>
        <v>3.1721691141982715</v>
      </c>
      <c r="E189" s="83">
        <f>Dimensionador!$C$22*(Premissas!$C$84+0.25*(Premissas!$C$85-Premissas!$C$84))*Premissas!$C$21*(1+Premissas!$C$26)^(15)</f>
        <v>42041.16550793963</v>
      </c>
      <c r="F189" s="83">
        <f>Dimensionador!$C$7*Premissas!$C$13*(Premissas!$C$84+0.25*(Premissas!$C$85-Premissas!$C$84))*Premissas!$C$20*(1+Premissas!$C$26)^(15)</f>
        <v>11384.88974332983</v>
      </c>
      <c r="G189" s="84">
        <f>Dimensionador!$C$7*Premissas!$C$25*(1+Premissas!$C$27)^(15)/12</f>
        <v>2856.2735971014013</v>
      </c>
      <c r="H189" s="85">
        <f>Premissas!$C$55*(1-Premissas!$C$32)^(15)</f>
        <v>49566.966771229403</v>
      </c>
      <c r="I189" s="85">
        <f>MIN(H189,Dimensionador!$C$7*Premissas!$C$13*(Premissas!$C$84+0.25*(Premissas!$C$85-Premissas!$C$84)))</f>
        <v>5733.5621867397203</v>
      </c>
      <c r="J189" s="85">
        <f t="shared" si="12"/>
        <v>43833.404584489683</v>
      </c>
      <c r="K189" s="83">
        <f>Premissas!$C$35*(1+Premissas!$C$27)^(15)/12</f>
        <v>1541.7385893445064</v>
      </c>
      <c r="L189" s="83">
        <f>E189-F189+(I189+J189)*Premissas!$C$20*(1+Premissas!$C$26)^(15)</f>
        <v>129079.2863158613</v>
      </c>
      <c r="M189" s="83">
        <f t="shared" si="13"/>
        <v>124681.2741294154</v>
      </c>
      <c r="N189" s="83">
        <f t="shared" si="14"/>
        <v>11802587.966583448</v>
      </c>
      <c r="O189" s="83">
        <f t="shared" si="15"/>
        <v>14090087.966583451</v>
      </c>
      <c r="P189" s="86" t="str">
        <f t="shared" si="16"/>
        <v/>
      </c>
      <c r="Q189" s="67">
        <f t="shared" si="17"/>
        <v>5733.5621867397203</v>
      </c>
    </row>
    <row r="190" spans="1:17" ht="12.75" customHeight="1" x14ac:dyDescent="0.35">
      <c r="A190" s="87">
        <v>16</v>
      </c>
      <c r="B190" s="80" t="s">
        <v>115</v>
      </c>
      <c r="C190" s="81">
        <f>Premissas!$C$84+0.3333333333*(Premissas!$C$85-Premissas!$C$84)</f>
        <v>0.71300000000050001</v>
      </c>
      <c r="D190" s="82">
        <f>(1+Premissas!$C$26)^(15)</f>
        <v>3.1721691141982715</v>
      </c>
      <c r="E190" s="83">
        <f>Dimensionador!$C$22*(Premissas!$C$84+0.3333333333*(Premissas!$C$85-Premissas!$C$84))*Premissas!$C$21*(1+Premissas!$C$26)^(15)</f>
        <v>41967.589789544254</v>
      </c>
      <c r="F190" s="83">
        <f>Dimensionador!$C$7*Premissas!$C$13*(Premissas!$C$84+0.3333333333*(Premissas!$C$85-Premissas!$C$84))*Premissas!$C$20*(1+Premissas!$C$26)^(15)</f>
        <v>11364.965190059309</v>
      </c>
      <c r="G190" s="84">
        <f>Dimensionador!$C$7*Premissas!$C$25*(1+Premissas!$C$27)^(15)/12</f>
        <v>2856.2735971014013</v>
      </c>
      <c r="H190" s="85">
        <f>Premissas!$C$56*(1-Premissas!$C$32)^(15)</f>
        <v>51219.198996937055</v>
      </c>
      <c r="I190" s="85">
        <f>MIN(H190,Dimensionador!$C$7*Premissas!$C$13*(Premissas!$C$84+0.3333333333*(Premissas!$C$85-Premissas!$C$84)))</f>
        <v>5723.5279512051629</v>
      </c>
      <c r="J190" s="85">
        <f t="shared" si="12"/>
        <v>45495.671045731891</v>
      </c>
      <c r="K190" s="83">
        <f>Premissas!$C$35*(1+Premissas!$C$27)^(15)/12</f>
        <v>1541.7385893445064</v>
      </c>
      <c r="L190" s="83">
        <f>E190-F190+(I190+J190)*Premissas!$C$20*(1+Premissas!$C$26)^(15)</f>
        <v>132306.4021691115</v>
      </c>
      <c r="M190" s="83">
        <f t="shared" si="13"/>
        <v>127908.3899826656</v>
      </c>
      <c r="N190" s="83">
        <f t="shared" si="14"/>
        <v>11930496.356566112</v>
      </c>
      <c r="O190" s="83">
        <f t="shared" si="15"/>
        <v>14217996.356566116</v>
      </c>
      <c r="P190" s="86" t="str">
        <f t="shared" si="16"/>
        <v/>
      </c>
      <c r="Q190" s="67">
        <f t="shared" si="17"/>
        <v>5723.5279512051629</v>
      </c>
    </row>
    <row r="191" spans="1:17" ht="12.75" customHeight="1" x14ac:dyDescent="0.35">
      <c r="A191" s="87">
        <v>16</v>
      </c>
      <c r="B191" s="80" t="s">
        <v>116</v>
      </c>
      <c r="C191" s="81">
        <f>Premissas!$C$84+0.4166666667*(Premissas!$C$85-Premissas!$C$84)</f>
        <v>0.71174999999949995</v>
      </c>
      <c r="D191" s="82">
        <f>(1+Premissas!$C$26)^(15)</f>
        <v>3.1721691141982715</v>
      </c>
      <c r="E191" s="83">
        <f>Dimensionador!$C$22*(Premissas!$C$84+0.4166666667*(Premissas!$C$85-Premissas!$C$84))*Premissas!$C$21*(1+Premissas!$C$26)^(15)</f>
        <v>41894.014071060563</v>
      </c>
      <c r="F191" s="83">
        <f>Dimensionador!$C$7*Premissas!$C$13*(Premissas!$C$84+0.4166666667*(Premissas!$C$85-Premissas!$C$84))*Premissas!$C$20*(1+Premissas!$C$26)^(15)</f>
        <v>11345.040636764877</v>
      </c>
      <c r="G191" s="84">
        <f>Dimensionador!$C$7*Premissas!$C$25*(1+Premissas!$C$27)^(15)/12</f>
        <v>2856.2735971014013</v>
      </c>
      <c r="H191" s="85">
        <f>Premissas!$C$57*(1-Premissas!$C$32)^(15)</f>
        <v>49566.966771229403</v>
      </c>
      <c r="I191" s="85">
        <f>MIN(H191,Dimensionador!$C$7*Premissas!$C$13*(Premissas!$C$84+0.4166666667*(Premissas!$C$85-Premissas!$C$84)))</f>
        <v>5713.4937156585638</v>
      </c>
      <c r="J191" s="85">
        <f t="shared" si="12"/>
        <v>43853.473055570837</v>
      </c>
      <c r="K191" s="83">
        <f>Premissas!$C$35*(1+Premissas!$C$27)^(15)/12</f>
        <v>1541.7385893445064</v>
      </c>
      <c r="L191" s="83">
        <f>E191-F191+(I191+J191)*Premissas!$C$20*(1+Premissas!$C$26)^(15)</f>
        <v>128971.98398554718</v>
      </c>
      <c r="M191" s="83">
        <f t="shared" si="13"/>
        <v>124573.97179910127</v>
      </c>
      <c r="N191" s="83">
        <f t="shared" si="14"/>
        <v>12055070.328365214</v>
      </c>
      <c r="O191" s="83">
        <f t="shared" si="15"/>
        <v>14342570.328365218</v>
      </c>
      <c r="P191" s="86" t="str">
        <f t="shared" si="16"/>
        <v/>
      </c>
      <c r="Q191" s="67">
        <f t="shared" si="17"/>
        <v>5713.4937156585638</v>
      </c>
    </row>
    <row r="192" spans="1:17" ht="12.75" customHeight="1" x14ac:dyDescent="0.35">
      <c r="A192" s="87">
        <v>16</v>
      </c>
      <c r="B192" s="80" t="s">
        <v>117</v>
      </c>
      <c r="C192" s="81">
        <f>Premissas!$C$84+0.5*(Premissas!$C$85-Premissas!$C$84)</f>
        <v>0.71049999999999991</v>
      </c>
      <c r="D192" s="82">
        <f>(1+Premissas!$C$26)^(15)</f>
        <v>3.1721691141982715</v>
      </c>
      <c r="E192" s="83">
        <f>Dimensionador!$C$22*(Premissas!$C$84+0.5*(Premissas!$C$85-Premissas!$C$84))*Premissas!$C$21*(1+Premissas!$C$26)^(15)</f>
        <v>41820.43835266518</v>
      </c>
      <c r="F192" s="83">
        <f>Dimensionador!$C$7*Premissas!$C$13*(Premissas!$C$84+0.5*(Premissas!$C$85-Premissas!$C$84))*Premissas!$C$20*(1+Premissas!$C$26)^(15)</f>
        <v>11325.116083494357</v>
      </c>
      <c r="G192" s="84">
        <f>Dimensionador!$C$7*Premissas!$C$25*(1+Premissas!$C$27)^(15)/12</f>
        <v>2856.2735971014013</v>
      </c>
      <c r="H192" s="85">
        <f>Premissas!$C$58*(1-Premissas!$C$32)^(15)</f>
        <v>51219.198996937055</v>
      </c>
      <c r="I192" s="85">
        <f>MIN(H192,Dimensionador!$C$7*Premissas!$C$13*(Premissas!$C$84+0.5*(Premissas!$C$85-Premissas!$C$84)))</f>
        <v>5703.4594801240055</v>
      </c>
      <c r="J192" s="85">
        <f t="shared" si="12"/>
        <v>45515.739516813046</v>
      </c>
      <c r="K192" s="83">
        <f>Premissas!$C$35*(1+Premissas!$C$27)^(15)/12</f>
        <v>1541.7385893445064</v>
      </c>
      <c r="L192" s="83">
        <f>E192-F192+(I192+J192)*Premissas!$C$20*(1+Premissas!$C$26)^(15)</f>
        <v>132199.09983879735</v>
      </c>
      <c r="M192" s="83">
        <f t="shared" si="13"/>
        <v>127801.08765235145</v>
      </c>
      <c r="N192" s="83">
        <f t="shared" si="14"/>
        <v>12182871.416017566</v>
      </c>
      <c r="O192" s="83">
        <f t="shared" si="15"/>
        <v>14470371.41601757</v>
      </c>
      <c r="P192" s="86" t="str">
        <f t="shared" si="16"/>
        <v/>
      </c>
      <c r="Q192" s="67">
        <f t="shared" si="17"/>
        <v>5703.4594801240055</v>
      </c>
    </row>
    <row r="193" spans="1:17" ht="12.75" customHeight="1" x14ac:dyDescent="0.35">
      <c r="A193" s="87">
        <v>16</v>
      </c>
      <c r="B193" s="80" t="s">
        <v>118</v>
      </c>
      <c r="C193" s="81">
        <f>Premissas!$C$84+0.5833333333*(Premissas!$C$85-Premissas!$C$84)</f>
        <v>0.70925000000049998</v>
      </c>
      <c r="D193" s="82">
        <f>(1+Premissas!$C$26)^(15)</f>
        <v>3.1721691141982715</v>
      </c>
      <c r="E193" s="83">
        <f>Dimensionador!$C$22*(Premissas!$C$84+0.5833333333*(Premissas!$C$85-Premissas!$C$84))*Premissas!$C$21*(1+Premissas!$C$26)^(15)</f>
        <v>41746.862634269797</v>
      </c>
      <c r="F193" s="83">
        <f>Dimensionador!$C$7*Premissas!$C$13*(Premissas!$C$84+0.5833333333*(Premissas!$C$85-Premissas!$C$84))*Premissas!$C$20*(1+Premissas!$C$26)^(15)</f>
        <v>11305.191530223834</v>
      </c>
      <c r="G193" s="84">
        <f>Dimensionador!$C$7*Premissas!$C$25*(1+Premissas!$C$27)^(15)/12</f>
        <v>2856.2735971014013</v>
      </c>
      <c r="H193" s="85">
        <f>Premissas!$C$59*(1-Premissas!$C$32)^(15)</f>
        <v>51219.198996937055</v>
      </c>
      <c r="I193" s="85">
        <f>MIN(H193,Dimensionador!$C$7*Premissas!$C$13*(Premissas!$C$84+0.5833333333*(Premissas!$C$85-Premissas!$C$84)))</f>
        <v>5693.4252445894481</v>
      </c>
      <c r="J193" s="85">
        <f t="shared" si="12"/>
        <v>45525.77375234761</v>
      </c>
      <c r="K193" s="83">
        <f>Premissas!$C$35*(1+Premissas!$C$27)^(15)/12</f>
        <v>1541.7385893445064</v>
      </c>
      <c r="L193" s="83">
        <f>E193-F193+(I193+J193)*Premissas!$C$20*(1+Premissas!$C$26)^(15)</f>
        <v>132145.44867367251</v>
      </c>
      <c r="M193" s="83">
        <f t="shared" si="13"/>
        <v>127747.4364872266</v>
      </c>
      <c r="N193" s="83">
        <f t="shared" si="14"/>
        <v>12310618.852504792</v>
      </c>
      <c r="O193" s="83">
        <f t="shared" si="15"/>
        <v>14598118.852504795</v>
      </c>
      <c r="P193" s="86" t="str">
        <f t="shared" si="16"/>
        <v/>
      </c>
      <c r="Q193" s="67">
        <f t="shared" si="17"/>
        <v>5693.4252445894481</v>
      </c>
    </row>
    <row r="194" spans="1:17" ht="12.75" customHeight="1" x14ac:dyDescent="0.35">
      <c r="A194" s="87">
        <v>16</v>
      </c>
      <c r="B194" s="80" t="s">
        <v>119</v>
      </c>
      <c r="C194" s="81">
        <f>Premissas!$C$84+0.6666666667*(Premissas!$C$85-Premissas!$C$84)</f>
        <v>0.70799999999949992</v>
      </c>
      <c r="D194" s="82">
        <f>(1+Premissas!$C$26)^(15)</f>
        <v>3.1721691141982715</v>
      </c>
      <c r="E194" s="83">
        <f>Dimensionador!$C$22*(Premissas!$C$84+0.6666666667*(Premissas!$C$85-Premissas!$C$84))*Premissas!$C$21*(1+Premissas!$C$26)^(15)</f>
        <v>41673.286915786121</v>
      </c>
      <c r="F194" s="83">
        <f>Dimensionador!$C$7*Premissas!$C$13*(Premissas!$C$84+0.6666666667*(Premissas!$C$85-Premissas!$C$84))*Premissas!$C$20*(1+Premissas!$C$26)^(15)</f>
        <v>11285.266976929403</v>
      </c>
      <c r="G194" s="84">
        <f>Dimensionador!$C$7*Premissas!$C$25*(1+Premissas!$C$27)^(15)/12</f>
        <v>2856.2735971014013</v>
      </c>
      <c r="H194" s="85">
        <f>Premissas!$C$60*(1-Premissas!$C$32)^(15)</f>
        <v>49566.966771229403</v>
      </c>
      <c r="I194" s="85">
        <f>MIN(H194,Dimensionador!$C$7*Premissas!$C$13*(Premissas!$C$84+0.6666666667*(Premissas!$C$85-Premissas!$C$84)))</f>
        <v>5683.391009042849</v>
      </c>
      <c r="J194" s="85">
        <f t="shared" si="12"/>
        <v>43883.575762186556</v>
      </c>
      <c r="K194" s="83">
        <f>Premissas!$C$35*(1+Premissas!$C$27)^(15)/12</f>
        <v>1541.7385893445064</v>
      </c>
      <c r="L194" s="83">
        <f>E194-F194+(I194+J194)*Premissas!$C$20*(1+Premissas!$C$26)^(15)</f>
        <v>128811.03049010821</v>
      </c>
      <c r="M194" s="83">
        <f t="shared" si="13"/>
        <v>124413.01830366231</v>
      </c>
      <c r="N194" s="83">
        <f t="shared" si="14"/>
        <v>12435031.870808454</v>
      </c>
      <c r="O194" s="83">
        <f t="shared" si="15"/>
        <v>14722531.870808458</v>
      </c>
      <c r="P194" s="86" t="str">
        <f t="shared" si="16"/>
        <v/>
      </c>
      <c r="Q194" s="67">
        <f t="shared" si="17"/>
        <v>5683.391009042849</v>
      </c>
    </row>
    <row r="195" spans="1:17" ht="12.75" customHeight="1" x14ac:dyDescent="0.35">
      <c r="A195" s="87">
        <v>16</v>
      </c>
      <c r="B195" s="80" t="s">
        <v>120</v>
      </c>
      <c r="C195" s="81">
        <f>Premissas!$C$84+0.75*(Premissas!$C$85-Premissas!$C$84)</f>
        <v>0.70674999999999999</v>
      </c>
      <c r="D195" s="82">
        <f>(1+Premissas!$C$26)^(15)</f>
        <v>3.1721691141982715</v>
      </c>
      <c r="E195" s="83">
        <f>Dimensionador!$C$22*(Premissas!$C$84+0.75*(Premissas!$C$85-Premissas!$C$84))*Premissas!$C$21*(1+Premissas!$C$26)^(15)</f>
        <v>41599.711197390738</v>
      </c>
      <c r="F195" s="83">
        <f>Dimensionador!$C$7*Premissas!$C$13*(Premissas!$C$84+0.75*(Premissas!$C$85-Premissas!$C$84))*Premissas!$C$20*(1+Premissas!$C$26)^(15)</f>
        <v>11265.342423658883</v>
      </c>
      <c r="G195" s="84">
        <f>Dimensionador!$C$7*Premissas!$C$25*(1+Premissas!$C$27)^(15)/12</f>
        <v>2856.2735971014013</v>
      </c>
      <c r="H195" s="85">
        <f>Premissas!$C$61*(1-Premissas!$C$32)^(15)</f>
        <v>51219.198996937055</v>
      </c>
      <c r="I195" s="85">
        <f>MIN(H195,Dimensionador!$C$7*Premissas!$C$13*(Premissas!$C$84+0.75*(Premissas!$C$85-Premissas!$C$84)))</f>
        <v>5673.3567735082916</v>
      </c>
      <c r="J195" s="85">
        <f t="shared" si="12"/>
        <v>45545.842223428765</v>
      </c>
      <c r="K195" s="83">
        <f>Premissas!$C$35*(1+Premissas!$C$27)^(15)/12</f>
        <v>1541.7385893445064</v>
      </c>
      <c r="L195" s="83">
        <f>E195-F195+(I195+J195)*Premissas!$C$20*(1+Premissas!$C$26)^(15)</f>
        <v>132038.14634335841</v>
      </c>
      <c r="M195" s="83">
        <f t="shared" si="13"/>
        <v>127640.13415691251</v>
      </c>
      <c r="N195" s="83">
        <f t="shared" si="14"/>
        <v>12562672.004965367</v>
      </c>
      <c r="O195" s="83">
        <f t="shared" si="15"/>
        <v>14850172.004965371</v>
      </c>
      <c r="P195" s="86" t="str">
        <f t="shared" si="16"/>
        <v/>
      </c>
      <c r="Q195" s="67">
        <f t="shared" si="17"/>
        <v>5673.3567735082916</v>
      </c>
    </row>
    <row r="196" spans="1:17" ht="12.75" customHeight="1" x14ac:dyDescent="0.35">
      <c r="A196" s="87">
        <v>16</v>
      </c>
      <c r="B196" s="80" t="s">
        <v>121</v>
      </c>
      <c r="C196" s="81">
        <f>Premissas!$C$84+0.8333333333*(Premissas!$C$85-Premissas!$C$84)</f>
        <v>0.70550000000049995</v>
      </c>
      <c r="D196" s="82">
        <f>(1+Premissas!$C$26)^(15)</f>
        <v>3.1721691141982715</v>
      </c>
      <c r="E196" s="83">
        <f>Dimensionador!$C$22*(Premissas!$C$84+0.8333333333*(Premissas!$C$85-Premissas!$C$84))*Premissas!$C$21*(1+Premissas!$C$26)^(15)</f>
        <v>41526.135478995355</v>
      </c>
      <c r="F196" s="83">
        <f>Dimensionador!$C$7*Premissas!$C$13*(Premissas!$C$84+0.8333333333*(Premissas!$C$85-Premissas!$C$84))*Premissas!$C$20*(1+Premissas!$C$26)^(15)</f>
        <v>11245.417870388361</v>
      </c>
      <c r="G196" s="84">
        <f>Dimensionador!$C$7*Premissas!$C$25*(1+Premissas!$C$27)^(15)/12</f>
        <v>2856.2735971014013</v>
      </c>
      <c r="H196" s="85">
        <f>Premissas!$C$62*(1-Premissas!$C$32)^(15)</f>
        <v>49566.966771229403</v>
      </c>
      <c r="I196" s="85">
        <f>MIN(H196,Dimensionador!$C$7*Premissas!$C$13*(Premissas!$C$84+0.8333333333*(Premissas!$C$85-Premissas!$C$84)))</f>
        <v>5663.3225379737332</v>
      </c>
      <c r="J196" s="85">
        <f t="shared" si="12"/>
        <v>43903.644233255669</v>
      </c>
      <c r="K196" s="83">
        <f>Premissas!$C$35*(1+Premissas!$C$27)^(15)/12</f>
        <v>1541.7385893445064</v>
      </c>
      <c r="L196" s="83">
        <f>E196-F196+(I196+J196)*Premissas!$C$20*(1+Premissas!$C$26)^(15)</f>
        <v>128703.7281598585</v>
      </c>
      <c r="M196" s="83">
        <f t="shared" si="13"/>
        <v>124305.71597341259</v>
      </c>
      <c r="N196" s="83">
        <f t="shared" si="14"/>
        <v>12686977.720938779</v>
      </c>
      <c r="O196" s="83">
        <f t="shared" si="15"/>
        <v>14974477.720938783</v>
      </c>
      <c r="P196" s="86" t="str">
        <f t="shared" si="16"/>
        <v/>
      </c>
      <c r="Q196" s="67">
        <f t="shared" si="17"/>
        <v>5663.3225379737332</v>
      </c>
    </row>
    <row r="197" spans="1:17" ht="12.75" customHeight="1" x14ac:dyDescent="0.35">
      <c r="A197" s="88">
        <v>16</v>
      </c>
      <c r="B197" s="89" t="s">
        <v>122</v>
      </c>
      <c r="C197" s="90">
        <f>Premissas!$C$84+0.9166666667*(Premissas!$C$85-Premissas!$C$84)</f>
        <v>0.7042499999995</v>
      </c>
      <c r="D197" s="91">
        <f>(1+Premissas!$C$26)^(15)</f>
        <v>3.1721691141982715</v>
      </c>
      <c r="E197" s="92">
        <f>Dimensionador!$C$22*(Premissas!$C$84+0.9166666667*(Premissas!$C$85-Premissas!$C$84))*Premissas!$C$21*(1+Premissas!$C$26)^(15)</f>
        <v>41452.559760511678</v>
      </c>
      <c r="F197" s="92">
        <f>Dimensionador!$C$7*Premissas!$C$13*(Premissas!$C$84+0.9166666667*(Premissas!$C$85-Premissas!$C$84))*Premissas!$C$20*(1+Premissas!$C$26)^(15)</f>
        <v>11225.493317093931</v>
      </c>
      <c r="G197" s="93">
        <f>Dimensionador!$C$7*Premissas!$C$25*(1+Premissas!$C$27)^(15)/12</f>
        <v>2856.2735971014013</v>
      </c>
      <c r="H197" s="94">
        <f>Premissas!$C$63*(1-Premissas!$C$32)^(15)</f>
        <v>51219.198996937055</v>
      </c>
      <c r="I197" s="95">
        <f>MIN(H197,Dimensionador!$C$7*Premissas!$C$13*(Premissas!$C$84+0.9166666667*(Premissas!$C$85-Premissas!$C$84)))</f>
        <v>5653.288302427135</v>
      </c>
      <c r="J197" s="94">
        <f t="shared" si="12"/>
        <v>45565.910694509919</v>
      </c>
      <c r="K197" s="96">
        <f>Premissas!$C$35*(1+Premissas!$C$27)^(15)/12</f>
        <v>1541.7385893445064</v>
      </c>
      <c r="L197" s="92">
        <f>E197-F197+(I197+J197)*Premissas!$C$20*(1+Premissas!$C$26)^(15)</f>
        <v>131930.84401304432</v>
      </c>
      <c r="M197" s="96">
        <f t="shared" si="13"/>
        <v>127532.83182659841</v>
      </c>
      <c r="N197" s="96">
        <f t="shared" si="14"/>
        <v>12814510.552765379</v>
      </c>
      <c r="O197" s="96">
        <f t="shared" si="15"/>
        <v>15102010.552765382</v>
      </c>
      <c r="P197" s="97" t="str">
        <f t="shared" si="16"/>
        <v/>
      </c>
      <c r="Q197" s="67">
        <f t="shared" si="17"/>
        <v>5653.288302427135</v>
      </c>
    </row>
    <row r="198" spans="1:17" ht="12.75" customHeight="1" x14ac:dyDescent="0.35">
      <c r="A198" s="59">
        <v>17</v>
      </c>
      <c r="B198" s="60" t="s">
        <v>110</v>
      </c>
      <c r="C198" s="61">
        <f>Premissas!$C$85+0*(Premissas!$C$86-Premissas!$C$85)</f>
        <v>0.70299999999999996</v>
      </c>
      <c r="D198" s="62">
        <f>(1+Premissas!$C$26)^(16)</f>
        <v>3.4259426433341331</v>
      </c>
      <c r="E198" s="63">
        <f>Dimensionador!$C$22*(Premissas!$C$85+0*(Premissas!$C$86-Premissas!$C$85))*Premissas!$C$21*(1+Premissas!$C$26)^(16)</f>
        <v>44689.30276548559</v>
      </c>
      <c r="F198" s="63">
        <f>Dimensionador!$C$7*Premissas!$C$13*(Premissas!$C$85+0*(Premissas!$C$86-Premissas!$C$85))*Premissas!$C$20*(1+Premissas!$C$26)^(16)</f>
        <v>12102.014264929279</v>
      </c>
      <c r="G198" s="64">
        <f>Dimensionador!$C$7*Premissas!$C$25*(1+Premissas!$C$27)^(16)/12</f>
        <v>2941.9618050144431</v>
      </c>
      <c r="H198" s="65">
        <f>Premissas!$C$52*(1-Premissas!$C$32)^(16)</f>
        <v>50963.103001952368</v>
      </c>
      <c r="I198" s="65">
        <f>MIN(H198,Dimensionador!$C$7*Premissas!$C$13*(Premissas!$C$85+0*(Premissas!$C$86-Premissas!$C$85)))</f>
        <v>5643.2540668925767</v>
      </c>
      <c r="J198" s="65">
        <f t="shared" ref="J198:J261" si="18">MAX(0,H198-I198)</f>
        <v>45319.848935059788</v>
      </c>
      <c r="K198" s="63">
        <f>Premissas!$C$35*(1+Premissas!$C$27)^(16)/12</f>
        <v>1587.9907470248415</v>
      </c>
      <c r="L198" s="63">
        <f>E198-F198+(I198+J198)*Premissas!$C$20*(1+Premissas!$C$26)^(16)</f>
        <v>141878.16787687701</v>
      </c>
      <c r="M198" s="63">
        <f t="shared" ref="M198:M261" si="19">L198-G198-K198</f>
        <v>137348.21532483774</v>
      </c>
      <c r="N198" s="63">
        <f t="shared" ref="N198:N261" si="20">N197+M198</f>
        <v>12951858.768090216</v>
      </c>
      <c r="O198" s="63">
        <f t="shared" si="15"/>
        <v>15239358.76809022</v>
      </c>
      <c r="P198" s="66" t="str">
        <f t="shared" si="16"/>
        <v/>
      </c>
      <c r="Q198" s="67">
        <f t="shared" si="17"/>
        <v>5643.2540668925767</v>
      </c>
    </row>
    <row r="199" spans="1:17" ht="12.75" customHeight="1" x14ac:dyDescent="0.35">
      <c r="A199" s="68">
        <v>17</v>
      </c>
      <c r="B199" s="60" t="s">
        <v>112</v>
      </c>
      <c r="C199" s="61">
        <f>Premissas!$C$85+0.0833333333*(Premissas!$C$86-Premissas!$C$85)</f>
        <v>0.70175000000049992</v>
      </c>
      <c r="D199" s="62">
        <f>(1+Premissas!$C$26)^(16)</f>
        <v>3.4259426433341331</v>
      </c>
      <c r="E199" s="63">
        <f>Dimensionador!$C$22*(Premissas!$C$85+0.0833333333*(Premissas!$C$86-Premissas!$C$85))*Premissas!$C$21*(1+Premissas!$C$26)^(16)</f>
        <v>44609.840989618569</v>
      </c>
      <c r="F199" s="63">
        <f>Dimensionador!$C$7*Premissas!$C$13*(Premissas!$C$85+0.0833333333*(Premissas!$C$86-Premissas!$C$85))*Premissas!$C$20*(1+Premissas!$C$26)^(16)</f>
        <v>12080.495747397119</v>
      </c>
      <c r="G199" s="64">
        <f>Dimensionador!$C$7*Premissas!$C$25*(1+Premissas!$C$27)^(16)/12</f>
        <v>2941.9618050144431</v>
      </c>
      <c r="H199" s="65">
        <f>Premissas!$C$53*(1-Premissas!$C$32)^(16)</f>
        <v>46031.189808215036</v>
      </c>
      <c r="I199" s="65">
        <f>MIN(H199,Dimensionador!$C$7*Premissas!$C$13*(Premissas!$C$85+0.0833333333*(Premissas!$C$86-Premissas!$C$85)))</f>
        <v>5633.2198313580193</v>
      </c>
      <c r="J199" s="65">
        <f t="shared" si="18"/>
        <v>40397.969976857014</v>
      </c>
      <c r="K199" s="63">
        <f>Premissas!$C$35*(1+Premissas!$C$27)^(16)/12</f>
        <v>1587.9907470248415</v>
      </c>
      <c r="L199" s="63">
        <f>E199-F199+(I199+J199)*Premissas!$C$20*(1+Premissas!$C$26)^(16)</f>
        <v>131243.68790470462</v>
      </c>
      <c r="M199" s="63">
        <f t="shared" si="19"/>
        <v>126713.73535266533</v>
      </c>
      <c r="N199" s="63">
        <f t="shared" si="20"/>
        <v>13078572.503442882</v>
      </c>
      <c r="O199" s="63">
        <f t="shared" ref="O199:O245" si="21">O198+M199</f>
        <v>15366072.503442885</v>
      </c>
      <c r="P199" s="66" t="str">
        <f t="shared" ref="P199:P245" si="22">IF(AND(N199&gt;=0,N198&lt;0),"✅ PAYBACK","")</f>
        <v/>
      </c>
      <c r="Q199" s="67">
        <f t="shared" si="17"/>
        <v>5633.2198313580193</v>
      </c>
    </row>
    <row r="200" spans="1:17" ht="12.75" customHeight="1" x14ac:dyDescent="0.35">
      <c r="A200" s="68">
        <v>17</v>
      </c>
      <c r="B200" s="60" t="s">
        <v>113</v>
      </c>
      <c r="C200" s="61">
        <f>Premissas!$C$85+0.1666666667*(Premissas!$C$86-Premissas!$C$85)</f>
        <v>0.70049999999949997</v>
      </c>
      <c r="D200" s="62">
        <f>(1+Premissas!$C$26)^(16)</f>
        <v>3.4259426433341331</v>
      </c>
      <c r="E200" s="63">
        <f>Dimensionador!$C$22*(Premissas!$C$85+0.1666666667*(Premissas!$C$86-Premissas!$C$85))*Premissas!$C$21*(1+Premissas!$C$26)^(16)</f>
        <v>44530.379213656197</v>
      </c>
      <c r="F200" s="63">
        <f>Dimensionador!$C$7*Premissas!$C$13*(Premissas!$C$85+0.1666666667*(Premissas!$C$86-Premissas!$C$85))*Premissas!$C$20*(1+Premissas!$C$26)^(16)</f>
        <v>12058.977229839133</v>
      </c>
      <c r="G200" s="64">
        <f>Dimensionador!$C$7*Premissas!$C$25*(1+Premissas!$C$27)^(16)/12</f>
        <v>2941.9618050144431</v>
      </c>
      <c r="H200" s="65">
        <f>Premissas!$C$54*(1-Premissas!$C$32)^(16)</f>
        <v>50963.103001952368</v>
      </c>
      <c r="I200" s="65">
        <f>MIN(H200,Dimensionador!$C$7*Premissas!$C$13*(Premissas!$C$85+0.1666666667*(Premissas!$C$86-Premissas!$C$85)))</f>
        <v>5623.1855958114202</v>
      </c>
      <c r="J200" s="65">
        <f t="shared" si="18"/>
        <v>45339.91740614095</v>
      </c>
      <c r="K200" s="63">
        <f>Premissas!$C$35*(1+Premissas!$C$27)^(16)/12</f>
        <v>1587.9907470248415</v>
      </c>
      <c r="L200" s="63">
        <f>E200-F200+(I200+J200)*Premissas!$C$20*(1+Premissas!$C$26)^(16)</f>
        <v>141762.28136013774</v>
      </c>
      <c r="M200" s="63">
        <f t="shared" si="19"/>
        <v>137232.32880809848</v>
      </c>
      <c r="N200" s="63">
        <f t="shared" si="20"/>
        <v>13215804.832250981</v>
      </c>
      <c r="O200" s="63">
        <f t="shared" si="21"/>
        <v>15503304.832250984</v>
      </c>
      <c r="P200" s="66" t="str">
        <f t="shared" si="22"/>
        <v/>
      </c>
      <c r="Q200" s="67">
        <f t="shared" si="17"/>
        <v>5623.1855958114202</v>
      </c>
    </row>
    <row r="201" spans="1:17" ht="12.75" customHeight="1" x14ac:dyDescent="0.35">
      <c r="A201" s="68">
        <v>17</v>
      </c>
      <c r="B201" s="60" t="s">
        <v>114</v>
      </c>
      <c r="C201" s="61">
        <f>Premissas!$C$85+0.25*(Premissas!$C$86-Premissas!$C$85)</f>
        <v>0.69924999999999993</v>
      </c>
      <c r="D201" s="62">
        <f>(1+Premissas!$C$26)^(16)</f>
        <v>3.4259426433341331</v>
      </c>
      <c r="E201" s="63">
        <f>Dimensionador!$C$22*(Premissas!$C$85+0.25*(Premissas!$C$86-Premissas!$C$85))*Premissas!$C$21*(1+Premissas!$C$26)^(16)</f>
        <v>44450.917437789183</v>
      </c>
      <c r="F201" s="63">
        <f>Dimensionador!$C$7*Premissas!$C$13*(Premissas!$C$85+0.25*(Premissas!$C$86-Premissas!$C$85))*Premissas!$C$20*(1+Premissas!$C$26)^(16)</f>
        <v>12037.45871230697</v>
      </c>
      <c r="G201" s="64">
        <f>Dimensionador!$C$7*Premissas!$C$25*(1+Premissas!$C$27)^(16)/12</f>
        <v>2941.9618050144431</v>
      </c>
      <c r="H201" s="65">
        <f>Premissas!$C$55*(1-Premissas!$C$32)^(16)</f>
        <v>49319.131937373255</v>
      </c>
      <c r="I201" s="65">
        <f>MIN(H201,Dimensionador!$C$7*Premissas!$C$13*(Premissas!$C$85+0.25*(Premissas!$C$86-Premissas!$C$85)))</f>
        <v>5613.1513602768628</v>
      </c>
      <c r="J201" s="65">
        <f t="shared" si="18"/>
        <v>43705.980577096394</v>
      </c>
      <c r="K201" s="63">
        <f>Premissas!$C$35*(1+Premissas!$C$27)^(16)/12</f>
        <v>1587.9907470248415</v>
      </c>
      <c r="L201" s="63">
        <f>E201-F201+(I201+J201)*Premissas!$C$20*(1+Premissas!$C$26)^(16)</f>
        <v>138178.82586385706</v>
      </c>
      <c r="M201" s="63">
        <f t="shared" si="19"/>
        <v>133648.87331181779</v>
      </c>
      <c r="N201" s="63">
        <f t="shared" si="20"/>
        <v>13349453.705562798</v>
      </c>
      <c r="O201" s="63">
        <f t="shared" si="21"/>
        <v>15636953.705562802</v>
      </c>
      <c r="P201" s="66" t="str">
        <f t="shared" si="22"/>
        <v/>
      </c>
      <c r="Q201" s="67">
        <f t="shared" si="17"/>
        <v>5613.1513602768628</v>
      </c>
    </row>
    <row r="202" spans="1:17" ht="12.75" customHeight="1" x14ac:dyDescent="0.35">
      <c r="A202" s="68">
        <v>17</v>
      </c>
      <c r="B202" s="60" t="s">
        <v>115</v>
      </c>
      <c r="C202" s="61">
        <f>Premissas!$C$85+0.3333333333*(Premissas!$C$86-Premissas!$C$85)</f>
        <v>0.6980000000005</v>
      </c>
      <c r="D202" s="62">
        <f>(1+Premissas!$C$26)^(16)</f>
        <v>3.4259426433341331</v>
      </c>
      <c r="E202" s="63">
        <f>Dimensionador!$C$22*(Premissas!$C$85+0.3333333333*(Premissas!$C$86-Premissas!$C$85))*Premissas!$C$21*(1+Premissas!$C$26)^(16)</f>
        <v>44371.455661922184</v>
      </c>
      <c r="F202" s="63">
        <f>Dimensionador!$C$7*Premissas!$C$13*(Premissas!$C$85+0.3333333333*(Premissas!$C$86-Premissas!$C$85))*Premissas!$C$20*(1+Premissas!$C$26)^(16)</f>
        <v>12015.940194774808</v>
      </c>
      <c r="G202" s="64">
        <f>Dimensionador!$C$7*Premissas!$C$25*(1+Premissas!$C$27)^(16)/12</f>
        <v>2941.9618050144431</v>
      </c>
      <c r="H202" s="65">
        <f>Premissas!$C$56*(1-Premissas!$C$32)^(16)</f>
        <v>50963.103001952368</v>
      </c>
      <c r="I202" s="65">
        <f>MIN(H202,Dimensionador!$C$7*Premissas!$C$13*(Premissas!$C$85+0.3333333333*(Premissas!$C$86-Premissas!$C$85)))</f>
        <v>5603.1171247423054</v>
      </c>
      <c r="J202" s="65">
        <f t="shared" si="18"/>
        <v>45359.985877210063</v>
      </c>
      <c r="K202" s="63">
        <f>Premissas!$C$35*(1+Premissas!$C$27)^(16)/12</f>
        <v>1587.9907470248415</v>
      </c>
      <c r="L202" s="63">
        <f>E202-F202+(I202+J202)*Premissas!$C$20*(1+Premissas!$C$26)^(16)</f>
        <v>141646.39484346806</v>
      </c>
      <c r="M202" s="63">
        <f t="shared" si="19"/>
        <v>137116.4422914288</v>
      </c>
      <c r="N202" s="63">
        <f t="shared" si="20"/>
        <v>13486570.147854228</v>
      </c>
      <c r="O202" s="63">
        <f t="shared" si="21"/>
        <v>15774070.147854231</v>
      </c>
      <c r="P202" s="66" t="str">
        <f t="shared" si="22"/>
        <v/>
      </c>
      <c r="Q202" s="67">
        <f t="shared" si="17"/>
        <v>5603.1171247423054</v>
      </c>
    </row>
    <row r="203" spans="1:17" ht="12.75" customHeight="1" x14ac:dyDescent="0.35">
      <c r="A203" s="68">
        <v>17</v>
      </c>
      <c r="B203" s="60" t="s">
        <v>116</v>
      </c>
      <c r="C203" s="61">
        <f>Premissas!$C$85+0.4166666667*(Premissas!$C$86-Premissas!$C$85)</f>
        <v>0.69674999999949994</v>
      </c>
      <c r="D203" s="62">
        <f>(1+Premissas!$C$26)^(16)</f>
        <v>3.4259426433341331</v>
      </c>
      <c r="E203" s="63">
        <f>Dimensionador!$C$22*(Premissas!$C$85+0.4166666667*(Premissas!$C$86-Premissas!$C$85))*Premissas!$C$21*(1+Premissas!$C$26)^(16)</f>
        <v>44291.993885959804</v>
      </c>
      <c r="F203" s="63">
        <f>Dimensionador!$C$7*Premissas!$C$13*(Premissas!$C$85+0.4166666667*(Premissas!$C$86-Premissas!$C$85))*Premissas!$C$20*(1+Premissas!$C$26)^(16)</f>
        <v>11994.421677216822</v>
      </c>
      <c r="G203" s="64">
        <f>Dimensionador!$C$7*Premissas!$C$25*(1+Premissas!$C$27)^(16)/12</f>
        <v>2941.9618050144431</v>
      </c>
      <c r="H203" s="65">
        <f>Premissas!$C$57*(1-Premissas!$C$32)^(16)</f>
        <v>49319.131937373255</v>
      </c>
      <c r="I203" s="65">
        <f>MIN(H203,Dimensionador!$C$7*Premissas!$C$13*(Premissas!$C$85+0.4166666667*(Premissas!$C$86-Premissas!$C$85)))</f>
        <v>5593.0828891957062</v>
      </c>
      <c r="J203" s="65">
        <f t="shared" si="18"/>
        <v>43726.049048177549</v>
      </c>
      <c r="K203" s="63">
        <f>Premissas!$C$35*(1+Premissas!$C$27)^(16)/12</f>
        <v>1587.9907470248415</v>
      </c>
      <c r="L203" s="63">
        <f>E203-F203+(I203+J203)*Premissas!$C$20*(1+Premissas!$C$26)^(16)</f>
        <v>138062.93934711785</v>
      </c>
      <c r="M203" s="63">
        <f t="shared" si="19"/>
        <v>133532.98679507858</v>
      </c>
      <c r="N203" s="63">
        <f t="shared" si="20"/>
        <v>13620103.134649307</v>
      </c>
      <c r="O203" s="63">
        <f t="shared" si="21"/>
        <v>15907603.13464931</v>
      </c>
      <c r="P203" s="66" t="str">
        <f t="shared" si="22"/>
        <v/>
      </c>
      <c r="Q203" s="67">
        <f t="shared" si="17"/>
        <v>5593.0828891957062</v>
      </c>
    </row>
    <row r="204" spans="1:17" ht="12.75" customHeight="1" x14ac:dyDescent="0.35">
      <c r="A204" s="68">
        <v>17</v>
      </c>
      <c r="B204" s="60" t="s">
        <v>117</v>
      </c>
      <c r="C204" s="61">
        <f>Premissas!$C$85+0.5*(Premissas!$C$86-Premissas!$C$85)</f>
        <v>0.69550000000000001</v>
      </c>
      <c r="D204" s="62">
        <f>(1+Premissas!$C$26)^(16)</f>
        <v>3.4259426433341331</v>
      </c>
      <c r="E204" s="63">
        <f>Dimensionador!$C$22*(Premissas!$C$85+0.5*(Premissas!$C$86-Premissas!$C$85))*Premissas!$C$21*(1+Premissas!$C$26)^(16)</f>
        <v>44212.532110092783</v>
      </c>
      <c r="F204" s="63">
        <f>Dimensionador!$C$7*Premissas!$C$13*(Premissas!$C$85+0.5*(Premissas!$C$86-Premissas!$C$85))*Premissas!$C$20*(1+Premissas!$C$26)^(16)</f>
        <v>11972.90315968466</v>
      </c>
      <c r="G204" s="64">
        <f>Dimensionador!$C$7*Premissas!$C$25*(1+Premissas!$C$27)^(16)/12</f>
        <v>2941.9618050144431</v>
      </c>
      <c r="H204" s="65">
        <f>Premissas!$C$58*(1-Premissas!$C$32)^(16)</f>
        <v>50963.103001952368</v>
      </c>
      <c r="I204" s="65">
        <f>MIN(H204,Dimensionador!$C$7*Premissas!$C$13*(Premissas!$C$85+0.5*(Premissas!$C$86-Premissas!$C$85)))</f>
        <v>5583.0486536611488</v>
      </c>
      <c r="J204" s="65">
        <f t="shared" si="18"/>
        <v>45380.054348291218</v>
      </c>
      <c r="K204" s="63">
        <f>Premissas!$C$35*(1+Premissas!$C$27)^(16)/12</f>
        <v>1587.9907470248415</v>
      </c>
      <c r="L204" s="63">
        <f>E204-F204+(I204+J204)*Premissas!$C$20*(1+Premissas!$C$26)^(16)</f>
        <v>141530.50832672883</v>
      </c>
      <c r="M204" s="63">
        <f t="shared" si="19"/>
        <v>137000.55577468956</v>
      </c>
      <c r="N204" s="63">
        <f t="shared" si="20"/>
        <v>13757103.690423995</v>
      </c>
      <c r="O204" s="63">
        <f t="shared" si="21"/>
        <v>16044603.690423999</v>
      </c>
      <c r="P204" s="66" t="str">
        <f t="shared" si="22"/>
        <v/>
      </c>
      <c r="Q204" s="67">
        <f t="shared" si="17"/>
        <v>5583.0486536611488</v>
      </c>
    </row>
    <row r="205" spans="1:17" ht="12.75" customHeight="1" x14ac:dyDescent="0.35">
      <c r="A205" s="68">
        <v>17</v>
      </c>
      <c r="B205" s="60" t="s">
        <v>118</v>
      </c>
      <c r="C205" s="61">
        <f>Premissas!$C$85+0.5833333333*(Premissas!$C$86-Premissas!$C$85)</f>
        <v>0.69425000000049997</v>
      </c>
      <c r="D205" s="62">
        <f>(1+Premissas!$C$26)^(16)</f>
        <v>3.4259426433341331</v>
      </c>
      <c r="E205" s="63">
        <f>Dimensionador!$C$22*(Premissas!$C$85+0.5833333333*(Premissas!$C$86-Premissas!$C$85))*Premissas!$C$21*(1+Premissas!$C$26)^(16)</f>
        <v>44133.070334225769</v>
      </c>
      <c r="F205" s="63">
        <f>Dimensionador!$C$7*Premissas!$C$13*(Premissas!$C$85+0.5833333333*(Premissas!$C$86-Premissas!$C$85))*Premissas!$C$20*(1+Premissas!$C$26)^(16)</f>
        <v>11951.384642152496</v>
      </c>
      <c r="G205" s="64">
        <f>Dimensionador!$C$7*Premissas!$C$25*(1+Premissas!$C$27)^(16)/12</f>
        <v>2941.9618050144431</v>
      </c>
      <c r="H205" s="65">
        <f>Premissas!$C$59*(1-Premissas!$C$32)^(16)</f>
        <v>50963.103001952368</v>
      </c>
      <c r="I205" s="65">
        <f>MIN(H205,Dimensionador!$C$7*Premissas!$C$13*(Premissas!$C$85+0.5833333333*(Premissas!$C$86-Premissas!$C$85)))</f>
        <v>5573.0144181265905</v>
      </c>
      <c r="J205" s="65">
        <f t="shared" si="18"/>
        <v>45390.088583825775</v>
      </c>
      <c r="K205" s="63">
        <f>Premissas!$C$35*(1+Premissas!$C$27)^(16)/12</f>
        <v>1587.9907470248415</v>
      </c>
      <c r="L205" s="63">
        <f>E205-F205+(I205+J205)*Premissas!$C$20*(1+Premissas!$C$26)^(16)</f>
        <v>141472.56506839397</v>
      </c>
      <c r="M205" s="63">
        <f t="shared" si="19"/>
        <v>136942.61251635471</v>
      </c>
      <c r="N205" s="63">
        <f t="shared" si="20"/>
        <v>13894046.30294035</v>
      </c>
      <c r="O205" s="63">
        <f t="shared" si="21"/>
        <v>16181546.302940354</v>
      </c>
      <c r="P205" s="66" t="str">
        <f t="shared" si="22"/>
        <v/>
      </c>
      <c r="Q205" s="67">
        <f t="shared" si="17"/>
        <v>5573.0144181265905</v>
      </c>
    </row>
    <row r="206" spans="1:17" ht="12.75" customHeight="1" x14ac:dyDescent="0.35">
      <c r="A206" s="68">
        <v>17</v>
      </c>
      <c r="B206" s="60" t="s">
        <v>119</v>
      </c>
      <c r="C206" s="61">
        <f>Premissas!$C$85+0.6666666667*(Premissas!$C$86-Premissas!$C$85)</f>
        <v>0.6929999999994999</v>
      </c>
      <c r="D206" s="62">
        <f>(1+Premissas!$C$26)^(16)</f>
        <v>3.4259426433341331</v>
      </c>
      <c r="E206" s="63">
        <f>Dimensionador!$C$22*(Premissas!$C$85+0.6666666667*(Premissas!$C$86-Premissas!$C$85))*Premissas!$C$21*(1+Premissas!$C$26)^(16)</f>
        <v>44053.608558263397</v>
      </c>
      <c r="F206" s="63">
        <f>Dimensionador!$C$7*Premissas!$C$13*(Premissas!$C$85+0.6666666667*(Premissas!$C$86-Premissas!$C$85))*Premissas!$C$20*(1+Premissas!$C$26)^(16)</f>
        <v>11929.86612459451</v>
      </c>
      <c r="G206" s="64">
        <f>Dimensionador!$C$7*Premissas!$C$25*(1+Premissas!$C$27)^(16)/12</f>
        <v>2941.9618050144431</v>
      </c>
      <c r="H206" s="65">
        <f>Premissas!$C$60*(1-Premissas!$C$32)^(16)</f>
        <v>49319.131937373255</v>
      </c>
      <c r="I206" s="65">
        <f>MIN(H206,Dimensionador!$C$7*Premissas!$C$13*(Premissas!$C$85+0.6666666667*(Premissas!$C$86-Premissas!$C$85)))</f>
        <v>5562.9801825799914</v>
      </c>
      <c r="J206" s="65">
        <f t="shared" si="18"/>
        <v>43756.15175479326</v>
      </c>
      <c r="K206" s="63">
        <f>Premissas!$C$35*(1+Premissas!$C$27)^(16)/12</f>
        <v>1587.9907470248415</v>
      </c>
      <c r="L206" s="63">
        <f>E206-F206+(I206+J206)*Premissas!$C$20*(1+Premissas!$C$26)^(16)</f>
        <v>137889.10957204376</v>
      </c>
      <c r="M206" s="63">
        <f t="shared" si="19"/>
        <v>133359.1570200045</v>
      </c>
      <c r="N206" s="63">
        <f t="shared" si="20"/>
        <v>14027405.459960354</v>
      </c>
      <c r="O206" s="63">
        <f t="shared" si="21"/>
        <v>16314905.459960358</v>
      </c>
      <c r="P206" s="66" t="str">
        <f t="shared" si="22"/>
        <v/>
      </c>
      <c r="Q206" s="67">
        <f t="shared" si="17"/>
        <v>5562.9801825799914</v>
      </c>
    </row>
    <row r="207" spans="1:17" ht="12.75" customHeight="1" x14ac:dyDescent="0.35">
      <c r="A207" s="68">
        <v>17</v>
      </c>
      <c r="B207" s="60" t="s">
        <v>120</v>
      </c>
      <c r="C207" s="61">
        <f>Premissas!$C$85+0.75*(Premissas!$C$86-Premissas!$C$85)</f>
        <v>0.69174999999999998</v>
      </c>
      <c r="D207" s="62">
        <f>(1+Premissas!$C$26)^(16)</f>
        <v>3.4259426433341331</v>
      </c>
      <c r="E207" s="63">
        <f>Dimensionador!$C$22*(Premissas!$C$85+0.75*(Premissas!$C$86-Premissas!$C$85))*Premissas!$C$21*(1+Premissas!$C$26)^(16)</f>
        <v>43974.146782396383</v>
      </c>
      <c r="F207" s="63">
        <f>Dimensionador!$C$7*Premissas!$C$13*(Premissas!$C$85+0.75*(Premissas!$C$86-Premissas!$C$85))*Premissas!$C$20*(1+Premissas!$C$26)^(16)</f>
        <v>11908.347607062347</v>
      </c>
      <c r="G207" s="64">
        <f>Dimensionador!$C$7*Premissas!$C$25*(1+Premissas!$C$27)^(16)/12</f>
        <v>2941.9618050144431</v>
      </c>
      <c r="H207" s="65">
        <f>Premissas!$C$61*(1-Premissas!$C$32)^(16)</f>
        <v>50963.103001952368</v>
      </c>
      <c r="I207" s="65">
        <f>MIN(H207,Dimensionador!$C$7*Premissas!$C$13*(Premissas!$C$85+0.75*(Premissas!$C$86-Premissas!$C$85)))</f>
        <v>5552.945947045434</v>
      </c>
      <c r="J207" s="65">
        <f t="shared" si="18"/>
        <v>45410.157054906937</v>
      </c>
      <c r="K207" s="63">
        <f>Premissas!$C$35*(1+Premissas!$C$27)^(16)/12</f>
        <v>1587.9907470248415</v>
      </c>
      <c r="L207" s="63">
        <f>E207-F207+(I207+J207)*Premissas!$C$20*(1+Premissas!$C$26)^(16)</f>
        <v>141356.67855165474</v>
      </c>
      <c r="M207" s="63">
        <f t="shared" si="19"/>
        <v>136826.72599961548</v>
      </c>
      <c r="N207" s="63">
        <f t="shared" si="20"/>
        <v>14164232.185959971</v>
      </c>
      <c r="O207" s="63">
        <f t="shared" si="21"/>
        <v>16451732.185959974</v>
      </c>
      <c r="P207" s="66" t="str">
        <f t="shared" si="22"/>
        <v/>
      </c>
      <c r="Q207" s="67">
        <f t="shared" si="17"/>
        <v>5552.945947045434</v>
      </c>
    </row>
    <row r="208" spans="1:17" ht="12.75" customHeight="1" x14ac:dyDescent="0.35">
      <c r="A208" s="68">
        <v>17</v>
      </c>
      <c r="B208" s="60" t="s">
        <v>121</v>
      </c>
      <c r="C208" s="61">
        <f>Premissas!$C$85+0.8333333333*(Premissas!$C$86-Premissas!$C$85)</f>
        <v>0.69050000000049994</v>
      </c>
      <c r="D208" s="62">
        <f>(1+Premissas!$C$26)^(16)</f>
        <v>3.4259426433341331</v>
      </c>
      <c r="E208" s="63">
        <f>Dimensionador!$C$22*(Premissas!$C$85+0.8333333333*(Premissas!$C$86-Premissas!$C$85))*Premissas!$C$21*(1+Premissas!$C$26)^(16)</f>
        <v>43894.685006529369</v>
      </c>
      <c r="F208" s="63">
        <f>Dimensionador!$C$7*Premissas!$C$13*(Premissas!$C$85+0.8333333333*(Premissas!$C$86-Premissas!$C$85))*Premissas!$C$20*(1+Premissas!$C$26)^(16)</f>
        <v>11886.829089530185</v>
      </c>
      <c r="G208" s="64">
        <f>Dimensionador!$C$7*Premissas!$C$25*(1+Premissas!$C$27)^(16)/12</f>
        <v>2941.9618050144431</v>
      </c>
      <c r="H208" s="65">
        <f>Premissas!$C$62*(1-Premissas!$C$32)^(16)</f>
        <v>49319.131937373255</v>
      </c>
      <c r="I208" s="65">
        <f>MIN(H208,Dimensionador!$C$7*Premissas!$C$13*(Premissas!$C$85+0.8333333333*(Premissas!$C$86-Premissas!$C$85)))</f>
        <v>5542.9117115108766</v>
      </c>
      <c r="J208" s="65">
        <f t="shared" si="18"/>
        <v>43776.22022586238</v>
      </c>
      <c r="K208" s="63">
        <f>Premissas!$C$35*(1+Premissas!$C$27)^(16)/12</f>
        <v>1587.9907470248415</v>
      </c>
      <c r="L208" s="63">
        <f>E208-F208+(I208+J208)*Premissas!$C$20*(1+Premissas!$C$26)^(16)</f>
        <v>137773.22305537405</v>
      </c>
      <c r="M208" s="63">
        <f t="shared" si="19"/>
        <v>133243.27050333479</v>
      </c>
      <c r="N208" s="63">
        <f t="shared" si="20"/>
        <v>14297475.456463305</v>
      </c>
      <c r="O208" s="63">
        <f t="shared" si="21"/>
        <v>16584975.456463309</v>
      </c>
      <c r="P208" s="66" t="str">
        <f t="shared" si="22"/>
        <v/>
      </c>
      <c r="Q208" s="67">
        <f t="shared" si="17"/>
        <v>5542.9117115108766</v>
      </c>
    </row>
    <row r="209" spans="1:17" ht="12.75" customHeight="1" x14ac:dyDescent="0.35">
      <c r="A209" s="69">
        <v>17</v>
      </c>
      <c r="B209" s="70" t="s">
        <v>122</v>
      </c>
      <c r="C209" s="71">
        <f>Premissas!$C$85+0.9166666667*(Premissas!$C$86-Premissas!$C$85)</f>
        <v>0.68924999999949998</v>
      </c>
      <c r="D209" s="72">
        <f>(1+Premissas!$C$26)^(16)</f>
        <v>3.4259426433341331</v>
      </c>
      <c r="E209" s="73">
        <f>Dimensionador!$C$22*(Premissas!$C$85+0.9166666667*(Premissas!$C$86-Premissas!$C$85))*Premissas!$C$21*(1+Premissas!$C$26)^(16)</f>
        <v>43815.223230567004</v>
      </c>
      <c r="F209" s="73">
        <f>Dimensionador!$C$7*Premissas!$C$13*(Premissas!$C$85+0.9166666667*(Premissas!$C$86-Premissas!$C$85))*Premissas!$C$20*(1+Premissas!$C$26)^(16)</f>
        <v>11865.310571972201</v>
      </c>
      <c r="G209" s="74">
        <f>Dimensionador!$C$7*Premissas!$C$25*(1+Premissas!$C$27)^(16)/12</f>
        <v>2941.9618050144431</v>
      </c>
      <c r="H209" s="75">
        <f>Premissas!$C$63*(1-Premissas!$C$32)^(16)</f>
        <v>50963.103001952368</v>
      </c>
      <c r="I209" s="76">
        <f>MIN(H209,Dimensionador!$C$7*Premissas!$C$13*(Premissas!$C$85+0.9166666667*(Premissas!$C$86-Premissas!$C$85)))</f>
        <v>5532.8774759642774</v>
      </c>
      <c r="J209" s="75">
        <f t="shared" si="18"/>
        <v>45430.225525988091</v>
      </c>
      <c r="K209" s="77">
        <f>Premissas!$C$35*(1+Premissas!$C$27)^(16)/12</f>
        <v>1587.9907470248415</v>
      </c>
      <c r="L209" s="73">
        <f>E209-F209+(I209+J209)*Premissas!$C$20*(1+Premissas!$C$26)^(16)</f>
        <v>141240.7920349155</v>
      </c>
      <c r="M209" s="77">
        <f t="shared" si="19"/>
        <v>136710.83948287624</v>
      </c>
      <c r="N209" s="77">
        <f t="shared" si="20"/>
        <v>14434186.295946181</v>
      </c>
      <c r="O209" s="77">
        <f t="shared" si="21"/>
        <v>16721686.295946185</v>
      </c>
      <c r="P209" s="78" t="str">
        <f t="shared" si="22"/>
        <v/>
      </c>
      <c r="Q209" s="67">
        <f t="shared" si="17"/>
        <v>5532.8774759642774</v>
      </c>
    </row>
    <row r="210" spans="1:17" ht="12.75" customHeight="1" x14ac:dyDescent="0.35">
      <c r="A210" s="79">
        <v>18</v>
      </c>
      <c r="B210" s="80" t="s">
        <v>110</v>
      </c>
      <c r="C210" s="81">
        <f>Premissas!$C$86+0*(Premissas!$C$87-Premissas!$C$86)</f>
        <v>0.68799999999999994</v>
      </c>
      <c r="D210" s="82">
        <f>(1+Premissas!$C$26)^(17)</f>
        <v>3.7000180548008639</v>
      </c>
      <c r="E210" s="83">
        <f>Dimensionador!$C$22*(Premissas!$C$86+0*(Premissas!$C$87-Premissas!$C$86))*Premissas!$C$21*(1+Premissas!$C$26)^(17)</f>
        <v>47234.622371075988</v>
      </c>
      <c r="F210" s="83">
        <f>Dimensionador!$C$7*Premissas!$C$13*(Premissas!$C$86+0*(Premissas!$C$87-Premissas!$C$86))*Premissas!$C$20*(1+Premissas!$C$26)^(17)</f>
        <v>12791.29541879524</v>
      </c>
      <c r="G210" s="84">
        <f>Dimensionador!$C$7*Premissas!$C$25*(1+Premissas!$C$27)^(17)/12</f>
        <v>3030.220659164876</v>
      </c>
      <c r="H210" s="85">
        <f>Premissas!$C$52*(1-Premissas!$C$32)^(17)</f>
        <v>50708.287486942601</v>
      </c>
      <c r="I210" s="85">
        <f>MIN(H210,Dimensionador!$C$7*Premissas!$C$13*(Premissas!$C$86+0*(Premissas!$C$87-Premissas!$C$86)))</f>
        <v>5522.84324042972</v>
      </c>
      <c r="J210" s="85">
        <f t="shared" si="18"/>
        <v>45185.444246512881</v>
      </c>
      <c r="K210" s="83">
        <f>Premissas!$C$35*(1+Premissas!$C$27)^(17)/12</f>
        <v>1635.6304694355867</v>
      </c>
      <c r="L210" s="83">
        <f>E210-F210+(I210+J210)*Premissas!$C$20*(1+Premissas!$C$26)^(17)</f>
        <v>151887.30593007497</v>
      </c>
      <c r="M210" s="83">
        <f t="shared" si="19"/>
        <v>147221.45480147449</v>
      </c>
      <c r="N210" s="83">
        <f t="shared" si="20"/>
        <v>14581407.750747655</v>
      </c>
      <c r="O210" s="83">
        <f t="shared" si="21"/>
        <v>16868907.750747658</v>
      </c>
      <c r="P210" s="86" t="str">
        <f t="shared" si="22"/>
        <v/>
      </c>
      <c r="Q210" s="67">
        <f t="shared" si="17"/>
        <v>5522.84324042972</v>
      </c>
    </row>
    <row r="211" spans="1:17" ht="12.75" customHeight="1" x14ac:dyDescent="0.35">
      <c r="A211" s="87">
        <v>18</v>
      </c>
      <c r="B211" s="80" t="s">
        <v>112</v>
      </c>
      <c r="C211" s="81">
        <f>Premissas!$C$86+0.0833333333*(Premissas!$C$87-Premissas!$C$86)</f>
        <v>0.68675000000049991</v>
      </c>
      <c r="D211" s="82">
        <f>(1+Premissas!$C$26)^(17)</f>
        <v>3.7000180548008639</v>
      </c>
      <c r="E211" s="83">
        <f>Dimensionador!$C$22*(Premissas!$C$86+0.0833333333*(Premissas!$C$87-Premissas!$C$86))*Premissas!$C$21*(1+Premissas!$C$26)^(17)</f>
        <v>47148.803653139599</v>
      </c>
      <c r="F211" s="83">
        <f>Dimensionador!$C$7*Premissas!$C$13*(Premissas!$C$86+0.0833333333*(Premissas!$C$87-Premissas!$C$86))*Premissas!$C$20*(1+Premissas!$C$26)^(17)</f>
        <v>12768.055419860504</v>
      </c>
      <c r="G211" s="84">
        <f>Dimensionador!$C$7*Premissas!$C$25*(1+Premissas!$C$27)^(17)/12</f>
        <v>3030.220659164876</v>
      </c>
      <c r="H211" s="85">
        <f>Premissas!$C$53*(1-Premissas!$C$32)^(17)</f>
        <v>45801.033859173964</v>
      </c>
      <c r="I211" s="85">
        <f>MIN(H211,Dimensionador!$C$7*Premissas!$C$13*(Premissas!$C$86+0.0833333333*(Premissas!$C$87-Premissas!$C$86)))</f>
        <v>5512.8090048951617</v>
      </c>
      <c r="J211" s="85">
        <f t="shared" si="18"/>
        <v>40288.2248542788</v>
      </c>
      <c r="K211" s="83">
        <f>Premissas!$C$35*(1+Premissas!$C$27)^(17)/12</f>
        <v>1635.6304694355867</v>
      </c>
      <c r="L211" s="83">
        <f>E211-F211+(I211+J211)*Premissas!$C$20*(1+Premissas!$C$26)^(17)</f>
        <v>140459.18085838354</v>
      </c>
      <c r="M211" s="83">
        <f t="shared" si="19"/>
        <v>135793.32972978306</v>
      </c>
      <c r="N211" s="83">
        <f t="shared" si="20"/>
        <v>14717201.080477437</v>
      </c>
      <c r="O211" s="83">
        <f t="shared" si="21"/>
        <v>17004701.080477443</v>
      </c>
      <c r="P211" s="86" t="str">
        <f t="shared" si="22"/>
        <v/>
      </c>
      <c r="Q211" s="67">
        <f t="shared" si="17"/>
        <v>5512.8090048951617</v>
      </c>
    </row>
    <row r="212" spans="1:17" ht="12.75" customHeight="1" x14ac:dyDescent="0.35">
      <c r="A212" s="87">
        <v>18</v>
      </c>
      <c r="B212" s="80" t="s">
        <v>113</v>
      </c>
      <c r="C212" s="81">
        <f>Premissas!$C$86+0.1666666667*(Premissas!$C$87-Premissas!$C$86)</f>
        <v>0.68549999999949995</v>
      </c>
      <c r="D212" s="82">
        <f>(1+Premissas!$C$26)^(17)</f>
        <v>3.7000180548008639</v>
      </c>
      <c r="E212" s="83">
        <f>Dimensionador!$C$22*(Premissas!$C$86+0.1666666667*(Premissas!$C$87-Premissas!$C$86))*Premissas!$C$21*(1+Premissas!$C$26)^(17)</f>
        <v>47062.984935100241</v>
      </c>
      <c r="F212" s="83">
        <f>Dimensionador!$C$7*Premissas!$C$13*(Premissas!$C$86+0.1666666667*(Premissas!$C$87-Premissas!$C$86))*Premissas!$C$20*(1+Premissas!$C$26)^(17)</f>
        <v>12744.815420897879</v>
      </c>
      <c r="G212" s="84">
        <f>Dimensionador!$C$7*Premissas!$C$25*(1+Premissas!$C$27)^(17)/12</f>
        <v>3030.220659164876</v>
      </c>
      <c r="H212" s="85">
        <f>Premissas!$C$54*(1-Premissas!$C$32)^(17)</f>
        <v>50708.287486942601</v>
      </c>
      <c r="I212" s="85">
        <f>MIN(H212,Dimensionador!$C$7*Premissas!$C$13*(Premissas!$C$86+0.1666666667*(Premissas!$C$87-Premissas!$C$86)))</f>
        <v>5502.7747693485635</v>
      </c>
      <c r="J212" s="85">
        <f t="shared" si="18"/>
        <v>45205.512717594036</v>
      </c>
      <c r="K212" s="83">
        <f>Premissas!$C$35*(1+Premissas!$C$27)^(17)/12</f>
        <v>1635.6304694355867</v>
      </c>
      <c r="L212" s="83">
        <f>E212-F212+(I212+J212)*Premissas!$C$20*(1+Premissas!$C$26)^(17)</f>
        <v>151762.14849199657</v>
      </c>
      <c r="M212" s="83">
        <f t="shared" si="19"/>
        <v>147096.29736339609</v>
      </c>
      <c r="N212" s="83">
        <f t="shared" si="20"/>
        <v>14864297.377840834</v>
      </c>
      <c r="O212" s="83">
        <f t="shared" si="21"/>
        <v>17151797.377840839</v>
      </c>
      <c r="P212" s="86" t="str">
        <f t="shared" si="22"/>
        <v/>
      </c>
      <c r="Q212" s="67">
        <f t="shared" si="17"/>
        <v>5502.7747693485635</v>
      </c>
    </row>
    <row r="213" spans="1:17" ht="12.75" customHeight="1" x14ac:dyDescent="0.35">
      <c r="A213" s="87">
        <v>18</v>
      </c>
      <c r="B213" s="80" t="s">
        <v>114</v>
      </c>
      <c r="C213" s="81">
        <f>Premissas!$C$86+0.25*(Premissas!$C$87-Premissas!$C$86)</f>
        <v>0.68425000000000002</v>
      </c>
      <c r="D213" s="82">
        <f>(1+Premissas!$C$26)^(17)</f>
        <v>3.7000180548008639</v>
      </c>
      <c r="E213" s="83">
        <f>Dimensionador!$C$22*(Premissas!$C$86+0.25*(Premissas!$C$87-Premissas!$C$86))*Premissas!$C$21*(1+Premissas!$C$26)^(17)</f>
        <v>46977.166217163867</v>
      </c>
      <c r="F213" s="83">
        <f>Dimensionador!$C$7*Premissas!$C$13*(Premissas!$C$86+0.25*(Premissas!$C$87-Premissas!$C$86))*Premissas!$C$20*(1+Premissas!$C$26)^(17)</f>
        <v>12721.575421963145</v>
      </c>
      <c r="G213" s="84">
        <f>Dimensionador!$C$7*Premissas!$C$25*(1+Premissas!$C$27)^(17)/12</f>
        <v>3030.220659164876</v>
      </c>
      <c r="H213" s="85">
        <f>Premissas!$C$55*(1-Premissas!$C$32)^(17)</f>
        <v>49072.536277686391</v>
      </c>
      <c r="I213" s="85">
        <f>MIN(H213,Dimensionador!$C$7*Premissas!$C$13*(Premissas!$C$86+0.25*(Premissas!$C$87-Premissas!$C$86)))</f>
        <v>5492.7405338140061</v>
      </c>
      <c r="J213" s="85">
        <f t="shared" si="18"/>
        <v>43579.795743872382</v>
      </c>
      <c r="K213" s="83">
        <f>Premissas!$C$35*(1+Premissas!$C$27)^(17)/12</f>
        <v>1635.6304694355867</v>
      </c>
      <c r="L213" s="83">
        <f>E213-F213+(I213+J213)*Premissas!$C$20*(1+Premissas!$C$26)^(17)</f>
        <v>147911.05432209835</v>
      </c>
      <c r="M213" s="83">
        <f t="shared" si="19"/>
        <v>143245.20319349787</v>
      </c>
      <c r="N213" s="83">
        <f t="shared" si="20"/>
        <v>15007542.581034333</v>
      </c>
      <c r="O213" s="83">
        <f t="shared" si="21"/>
        <v>17295042.581034336</v>
      </c>
      <c r="P213" s="86" t="str">
        <f t="shared" si="22"/>
        <v/>
      </c>
      <c r="Q213" s="67">
        <f t="shared" si="17"/>
        <v>5492.7405338140061</v>
      </c>
    </row>
    <row r="214" spans="1:17" ht="12.75" customHeight="1" x14ac:dyDescent="0.35">
      <c r="A214" s="87">
        <v>18</v>
      </c>
      <c r="B214" s="80" t="s">
        <v>115</v>
      </c>
      <c r="C214" s="81">
        <f>Premissas!$C$86+0.3333333333*(Premissas!$C$87-Premissas!$C$86)</f>
        <v>0.68300000000049998</v>
      </c>
      <c r="D214" s="82">
        <f>(1+Premissas!$C$26)^(17)</f>
        <v>3.7000180548008639</v>
      </c>
      <c r="E214" s="83">
        <f>Dimensionador!$C$22*(Premissas!$C$86+0.3333333333*(Premissas!$C$87-Premissas!$C$86))*Premissas!$C$21*(1+Premissas!$C$26)^(17)</f>
        <v>46891.347499227493</v>
      </c>
      <c r="F214" s="83">
        <f>Dimensionador!$C$7*Premissas!$C$13*(Premissas!$C$86+0.3333333333*(Premissas!$C$87-Premissas!$C$86))*Premissas!$C$20*(1+Premissas!$C$26)^(17)</f>
        <v>12698.335423028408</v>
      </c>
      <c r="G214" s="84">
        <f>Dimensionador!$C$7*Premissas!$C$25*(1+Premissas!$C$27)^(17)/12</f>
        <v>3030.220659164876</v>
      </c>
      <c r="H214" s="85">
        <f>Premissas!$C$56*(1-Premissas!$C$32)^(17)</f>
        <v>50708.287486942601</v>
      </c>
      <c r="I214" s="85">
        <f>MIN(H214,Dimensionador!$C$7*Premissas!$C$13*(Premissas!$C$86+0.3333333333*(Premissas!$C$87-Premissas!$C$86)))</f>
        <v>5482.7062982794478</v>
      </c>
      <c r="J214" s="85">
        <f t="shared" si="18"/>
        <v>45225.581188663156</v>
      </c>
      <c r="K214" s="83">
        <f>Premissas!$C$35*(1+Premissas!$C$27)^(17)/12</f>
        <v>1635.6304694355867</v>
      </c>
      <c r="L214" s="83">
        <f>E214-F214+(I214+J214)*Premissas!$C$20*(1+Premissas!$C$26)^(17)</f>
        <v>151636.99105399329</v>
      </c>
      <c r="M214" s="83">
        <f t="shared" si="19"/>
        <v>146971.13992539281</v>
      </c>
      <c r="N214" s="83">
        <f t="shared" si="20"/>
        <v>15154513.720959725</v>
      </c>
      <c r="O214" s="83">
        <f t="shared" si="21"/>
        <v>17442013.72095973</v>
      </c>
      <c r="P214" s="86" t="str">
        <f t="shared" si="22"/>
        <v/>
      </c>
      <c r="Q214" s="67">
        <f t="shared" si="17"/>
        <v>5482.7062982794478</v>
      </c>
    </row>
    <row r="215" spans="1:17" ht="12.75" customHeight="1" x14ac:dyDescent="0.35">
      <c r="A215" s="87">
        <v>18</v>
      </c>
      <c r="B215" s="80" t="s">
        <v>116</v>
      </c>
      <c r="C215" s="81">
        <f>Premissas!$C$86+0.4166666667*(Premissas!$C$87-Premissas!$C$86)</f>
        <v>0.68174999999950003</v>
      </c>
      <c r="D215" s="82">
        <f>(1+Premissas!$C$26)^(17)</f>
        <v>3.7000180548008639</v>
      </c>
      <c r="E215" s="83">
        <f>Dimensionador!$C$22*(Premissas!$C$86+0.4166666667*(Premissas!$C$87-Premissas!$C$86))*Premissas!$C$21*(1+Premissas!$C$26)^(17)</f>
        <v>46805.528781188135</v>
      </c>
      <c r="F215" s="83">
        <f>Dimensionador!$C$7*Premissas!$C$13*(Premissas!$C$86+0.4166666667*(Premissas!$C$87-Premissas!$C$86))*Premissas!$C$20*(1+Premissas!$C$26)^(17)</f>
        <v>12675.095424065785</v>
      </c>
      <c r="G215" s="84">
        <f>Dimensionador!$C$7*Premissas!$C$25*(1+Premissas!$C$27)^(17)/12</f>
        <v>3030.220659164876</v>
      </c>
      <c r="H215" s="85">
        <f>Premissas!$C$57*(1-Premissas!$C$32)^(17)</f>
        <v>49072.536277686391</v>
      </c>
      <c r="I215" s="85">
        <f>MIN(H215,Dimensionador!$C$7*Premissas!$C$13*(Premissas!$C$86+0.4166666667*(Premissas!$C$87-Premissas!$C$86)))</f>
        <v>5472.6720627328496</v>
      </c>
      <c r="J215" s="85">
        <f t="shared" si="18"/>
        <v>43599.864214953544</v>
      </c>
      <c r="K215" s="83">
        <f>Premissas!$C$35*(1+Premissas!$C$27)^(17)/12</f>
        <v>1635.6304694355867</v>
      </c>
      <c r="L215" s="83">
        <f>E215-F215+(I215+J215)*Premissas!$C$20*(1+Premissas!$C$26)^(17)</f>
        <v>147785.89688401998</v>
      </c>
      <c r="M215" s="83">
        <f t="shared" si="19"/>
        <v>143120.0457554195</v>
      </c>
      <c r="N215" s="83">
        <f t="shared" si="20"/>
        <v>15297633.766715145</v>
      </c>
      <c r="O215" s="83">
        <f t="shared" si="21"/>
        <v>17585133.76671515</v>
      </c>
      <c r="P215" s="86" t="str">
        <f t="shared" si="22"/>
        <v/>
      </c>
      <c r="Q215" s="67">
        <f t="shared" si="17"/>
        <v>5472.6720627328496</v>
      </c>
    </row>
    <row r="216" spans="1:17" ht="12.75" customHeight="1" x14ac:dyDescent="0.35">
      <c r="A216" s="87">
        <v>18</v>
      </c>
      <c r="B216" s="80" t="s">
        <v>117</v>
      </c>
      <c r="C216" s="81">
        <f>Premissas!$C$86+0.5*(Premissas!$C$87-Premissas!$C$86)</f>
        <v>0.68049999999999999</v>
      </c>
      <c r="D216" s="82">
        <f>(1+Premissas!$C$26)^(17)</f>
        <v>3.7000180548008639</v>
      </c>
      <c r="E216" s="83">
        <f>Dimensionador!$C$22*(Premissas!$C$86+0.5*(Premissas!$C$87-Premissas!$C$86))*Premissas!$C$21*(1+Premissas!$C$26)^(17)</f>
        <v>46719.710063251747</v>
      </c>
      <c r="F216" s="83">
        <f>Dimensionador!$C$7*Premissas!$C$13*(Premissas!$C$86+0.5*(Premissas!$C$87-Premissas!$C$86))*Premissas!$C$20*(1+Premissas!$C$26)^(17)</f>
        <v>12651.855425131047</v>
      </c>
      <c r="G216" s="84">
        <f>Dimensionador!$C$7*Premissas!$C$25*(1+Premissas!$C$27)^(17)/12</f>
        <v>3030.220659164876</v>
      </c>
      <c r="H216" s="85">
        <f>Premissas!$C$58*(1-Premissas!$C$32)^(17)</f>
        <v>50708.287486942601</v>
      </c>
      <c r="I216" s="85">
        <f>MIN(H216,Dimensionador!$C$7*Premissas!$C$13*(Premissas!$C$86+0.5*(Premissas!$C$87-Premissas!$C$86)))</f>
        <v>5462.6378271982912</v>
      </c>
      <c r="J216" s="85">
        <f t="shared" si="18"/>
        <v>45245.649659744311</v>
      </c>
      <c r="K216" s="83">
        <f>Premissas!$C$35*(1+Premissas!$C$27)^(17)/12</f>
        <v>1635.6304694355867</v>
      </c>
      <c r="L216" s="83">
        <f>E216-F216+(I216+J216)*Premissas!$C$20*(1+Premissas!$C$26)^(17)</f>
        <v>151511.83361591492</v>
      </c>
      <c r="M216" s="83">
        <f t="shared" si="19"/>
        <v>146845.98248731444</v>
      </c>
      <c r="N216" s="83">
        <f t="shared" si="20"/>
        <v>15444479.74920246</v>
      </c>
      <c r="O216" s="83">
        <f t="shared" si="21"/>
        <v>17731979.749202464</v>
      </c>
      <c r="P216" s="86" t="str">
        <f t="shared" si="22"/>
        <v/>
      </c>
      <c r="Q216" s="67">
        <f t="shared" si="17"/>
        <v>5462.6378271982912</v>
      </c>
    </row>
    <row r="217" spans="1:17" ht="12.75" customHeight="1" x14ac:dyDescent="0.35">
      <c r="A217" s="87">
        <v>18</v>
      </c>
      <c r="B217" s="80" t="s">
        <v>118</v>
      </c>
      <c r="C217" s="81">
        <f>Premissas!$C$86+0.5833333333*(Premissas!$C$87-Premissas!$C$86)</f>
        <v>0.67925000000049995</v>
      </c>
      <c r="D217" s="82">
        <f>(1+Premissas!$C$26)^(17)</f>
        <v>3.7000180548008639</v>
      </c>
      <c r="E217" s="83">
        <f>Dimensionador!$C$22*(Premissas!$C$86+0.5833333333*(Premissas!$C$87-Premissas!$C$86))*Premissas!$C$21*(1+Premissas!$C$26)^(17)</f>
        <v>46633.891345315373</v>
      </c>
      <c r="F217" s="83">
        <f>Dimensionador!$C$7*Premissas!$C$13*(Premissas!$C$86+0.5833333333*(Premissas!$C$87-Premissas!$C$86))*Premissas!$C$20*(1+Premissas!$C$26)^(17)</f>
        <v>12628.615426196313</v>
      </c>
      <c r="G217" s="84">
        <f>Dimensionador!$C$7*Premissas!$C$25*(1+Premissas!$C$27)^(17)/12</f>
        <v>3030.220659164876</v>
      </c>
      <c r="H217" s="85">
        <f>Premissas!$C$59*(1-Premissas!$C$32)^(17)</f>
        <v>50708.287486942601</v>
      </c>
      <c r="I217" s="85">
        <f>MIN(H217,Dimensionador!$C$7*Premissas!$C$13*(Premissas!$C$86+0.5833333333*(Premissas!$C$87-Premissas!$C$86)))</f>
        <v>5452.6035916637338</v>
      </c>
      <c r="J217" s="85">
        <f t="shared" si="18"/>
        <v>45255.683895278868</v>
      </c>
      <c r="K217" s="83">
        <f>Premissas!$C$35*(1+Premissas!$C$27)^(17)/12</f>
        <v>1635.6304694355867</v>
      </c>
      <c r="L217" s="83">
        <f>E217-F217+(I217+J217)*Premissas!$C$20*(1+Premissas!$C$26)^(17)</f>
        <v>151449.25489691328</v>
      </c>
      <c r="M217" s="83">
        <f t="shared" si="19"/>
        <v>146783.4037683128</v>
      </c>
      <c r="N217" s="83">
        <f t="shared" si="20"/>
        <v>15591263.152970772</v>
      </c>
      <c r="O217" s="83">
        <f t="shared" si="21"/>
        <v>17878763.152970776</v>
      </c>
      <c r="P217" s="86" t="str">
        <f t="shared" si="22"/>
        <v/>
      </c>
      <c r="Q217" s="67">
        <f t="shared" si="17"/>
        <v>5452.6035916637338</v>
      </c>
    </row>
    <row r="218" spans="1:17" ht="12.75" customHeight="1" x14ac:dyDescent="0.35">
      <c r="A218" s="87">
        <v>18</v>
      </c>
      <c r="B218" s="80" t="s">
        <v>119</v>
      </c>
      <c r="C218" s="81">
        <f>Premissas!$C$86+0.6666666667*(Premissas!$C$87-Premissas!$C$86)</f>
        <v>0.6779999999995</v>
      </c>
      <c r="D218" s="82">
        <f>(1+Premissas!$C$26)^(17)</f>
        <v>3.7000180548008639</v>
      </c>
      <c r="E218" s="83">
        <f>Dimensionador!$C$22*(Premissas!$C$86+0.6666666667*(Premissas!$C$87-Premissas!$C$86))*Premissas!$C$21*(1+Premissas!$C$26)^(17)</f>
        <v>46548.072627276015</v>
      </c>
      <c r="F218" s="83">
        <f>Dimensionador!$C$7*Premissas!$C$13*(Premissas!$C$86+0.6666666667*(Premissas!$C$87-Premissas!$C$86))*Premissas!$C$20*(1+Premissas!$C$26)^(17)</f>
        <v>12605.375427233688</v>
      </c>
      <c r="G218" s="84">
        <f>Dimensionador!$C$7*Premissas!$C$25*(1+Premissas!$C$27)^(17)/12</f>
        <v>3030.220659164876</v>
      </c>
      <c r="H218" s="85">
        <f>Premissas!$C$60*(1-Premissas!$C$32)^(17)</f>
        <v>49072.536277686391</v>
      </c>
      <c r="I218" s="85">
        <f>MIN(H218,Dimensionador!$C$7*Premissas!$C$13*(Premissas!$C$86+0.6666666667*(Premissas!$C$87-Premissas!$C$86)))</f>
        <v>5442.5693561171347</v>
      </c>
      <c r="J218" s="85">
        <f t="shared" si="18"/>
        <v>43629.966921569256</v>
      </c>
      <c r="K218" s="83">
        <f>Premissas!$C$35*(1+Premissas!$C$27)^(17)/12</f>
        <v>1635.6304694355867</v>
      </c>
      <c r="L218" s="83">
        <f>E218-F218+(I218+J218)*Premissas!$C$20*(1+Premissas!$C$26)^(17)</f>
        <v>147598.16072693997</v>
      </c>
      <c r="M218" s="83">
        <f t="shared" si="19"/>
        <v>142932.30959833949</v>
      </c>
      <c r="N218" s="83">
        <f t="shared" si="20"/>
        <v>15734195.462569112</v>
      </c>
      <c r="O218" s="83">
        <f t="shared" si="21"/>
        <v>18021695.462569114</v>
      </c>
      <c r="P218" s="86" t="str">
        <f t="shared" si="22"/>
        <v/>
      </c>
      <c r="Q218" s="67">
        <f t="shared" ref="Q218:Q245" si="23">I218</f>
        <v>5442.5693561171347</v>
      </c>
    </row>
    <row r="219" spans="1:17" ht="12.75" customHeight="1" x14ac:dyDescent="0.35">
      <c r="A219" s="87">
        <v>18</v>
      </c>
      <c r="B219" s="80" t="s">
        <v>120</v>
      </c>
      <c r="C219" s="81">
        <f>Premissas!$C$86+0.75*(Premissas!$C$87-Premissas!$C$86)</f>
        <v>0.67674999999999996</v>
      </c>
      <c r="D219" s="82">
        <f>(1+Premissas!$C$26)^(17)</f>
        <v>3.7000180548008639</v>
      </c>
      <c r="E219" s="83">
        <f>Dimensionador!$C$22*(Premissas!$C$86+0.75*(Premissas!$C$87-Premissas!$C$86))*Premissas!$C$21*(1+Premissas!$C$26)^(17)</f>
        <v>46462.253909339641</v>
      </c>
      <c r="F219" s="83">
        <f>Dimensionador!$C$7*Premissas!$C$13*(Premissas!$C$86+0.75*(Premissas!$C$87-Premissas!$C$86))*Premissas!$C$20*(1+Premissas!$C$26)^(17)</f>
        <v>12582.135428298952</v>
      </c>
      <c r="G219" s="84">
        <f>Dimensionador!$C$7*Premissas!$C$25*(1+Premissas!$C$27)^(17)/12</f>
        <v>3030.220659164876</v>
      </c>
      <c r="H219" s="85">
        <f>Premissas!$C$61*(1-Premissas!$C$32)^(17)</f>
        <v>50708.287486942601</v>
      </c>
      <c r="I219" s="85">
        <f>MIN(H219,Dimensionador!$C$7*Premissas!$C$13*(Premissas!$C$86+0.75*(Premissas!$C$87-Premissas!$C$86)))</f>
        <v>5432.5351205825773</v>
      </c>
      <c r="J219" s="85">
        <f t="shared" si="18"/>
        <v>45275.752366360022</v>
      </c>
      <c r="K219" s="83">
        <f>Premissas!$C$35*(1+Premissas!$C$27)^(17)/12</f>
        <v>1635.6304694355867</v>
      </c>
      <c r="L219" s="83">
        <f>E219-F219+(I219+J219)*Premissas!$C$20*(1+Premissas!$C$26)^(17)</f>
        <v>151324.09745883491</v>
      </c>
      <c r="M219" s="83">
        <f t="shared" si="19"/>
        <v>146658.24633023443</v>
      </c>
      <c r="N219" s="83">
        <f t="shared" si="20"/>
        <v>15880853.708899347</v>
      </c>
      <c r="O219" s="83">
        <f t="shared" si="21"/>
        <v>18168353.708899349</v>
      </c>
      <c r="P219" s="86" t="str">
        <f t="shared" si="22"/>
        <v/>
      </c>
      <c r="Q219" s="67">
        <f t="shared" si="23"/>
        <v>5432.5351205825773</v>
      </c>
    </row>
    <row r="220" spans="1:17" ht="12.75" customHeight="1" x14ac:dyDescent="0.35">
      <c r="A220" s="87">
        <v>18</v>
      </c>
      <c r="B220" s="80" t="s">
        <v>121</v>
      </c>
      <c r="C220" s="81">
        <f>Premissas!$C$86+0.8333333333*(Premissas!$C$87-Premissas!$C$86)</f>
        <v>0.67550000000050003</v>
      </c>
      <c r="D220" s="82">
        <f>(1+Premissas!$C$26)^(17)</f>
        <v>3.7000180548008639</v>
      </c>
      <c r="E220" s="83">
        <f>Dimensionador!$C$22*(Premissas!$C$86+0.8333333333*(Premissas!$C$87-Premissas!$C$86))*Premissas!$C$21*(1+Premissas!$C$26)^(17)</f>
        <v>46376.43519140326</v>
      </c>
      <c r="F220" s="83">
        <f>Dimensionador!$C$7*Premissas!$C$13*(Premissas!$C$86+0.8333333333*(Premissas!$C$87-Premissas!$C$86))*Premissas!$C$20*(1+Premissas!$C$26)^(17)</f>
        <v>12558.895429364216</v>
      </c>
      <c r="G220" s="84">
        <f>Dimensionador!$C$7*Premissas!$C$25*(1+Premissas!$C$27)^(17)/12</f>
        <v>3030.220659164876</v>
      </c>
      <c r="H220" s="85">
        <f>Premissas!$C$62*(1-Premissas!$C$32)^(17)</f>
        <v>49072.536277686391</v>
      </c>
      <c r="I220" s="85">
        <f>MIN(H220,Dimensionador!$C$7*Premissas!$C$13*(Premissas!$C$86+0.8333333333*(Premissas!$C$87-Premissas!$C$86)))</f>
        <v>5422.5008850480199</v>
      </c>
      <c r="J220" s="85">
        <f t="shared" si="18"/>
        <v>43650.035392638369</v>
      </c>
      <c r="K220" s="83">
        <f>Premissas!$C$35*(1+Premissas!$C$27)^(17)/12</f>
        <v>1635.6304694355867</v>
      </c>
      <c r="L220" s="83">
        <f>E220-F220+(I220+J220)*Premissas!$C$20*(1+Premissas!$C$26)^(17)</f>
        <v>147473.00328893668</v>
      </c>
      <c r="M220" s="83">
        <f t="shared" si="19"/>
        <v>142807.15216033621</v>
      </c>
      <c r="N220" s="83">
        <f t="shared" si="20"/>
        <v>16023660.861059682</v>
      </c>
      <c r="O220" s="83">
        <f t="shared" si="21"/>
        <v>18311160.861059684</v>
      </c>
      <c r="P220" s="86" t="str">
        <f t="shared" si="22"/>
        <v/>
      </c>
      <c r="Q220" s="67">
        <f t="shared" si="23"/>
        <v>5422.5008850480199</v>
      </c>
    </row>
    <row r="221" spans="1:17" ht="12.75" customHeight="1" x14ac:dyDescent="0.35">
      <c r="A221" s="88">
        <v>18</v>
      </c>
      <c r="B221" s="89" t="s">
        <v>122</v>
      </c>
      <c r="C221" s="90">
        <f>Premissas!$C$86+0.9166666667*(Premissas!$C$87-Premissas!$C$86)</f>
        <v>0.67424999999950008</v>
      </c>
      <c r="D221" s="91">
        <f>(1+Premissas!$C$26)^(17)</f>
        <v>3.7000180548008639</v>
      </c>
      <c r="E221" s="92">
        <f>Dimensionador!$C$22*(Premissas!$C$86+0.9166666667*(Premissas!$C$87-Premissas!$C$86))*Premissas!$C$21*(1+Premissas!$C$26)^(17)</f>
        <v>46290.616473363909</v>
      </c>
      <c r="F221" s="92">
        <f>Dimensionador!$C$7*Premissas!$C$13*(Premissas!$C$86+0.9166666667*(Premissas!$C$87-Premissas!$C$86))*Premissas!$C$20*(1+Premissas!$C$26)^(17)</f>
        <v>12535.655430401595</v>
      </c>
      <c r="G221" s="93">
        <f>Dimensionador!$C$7*Premissas!$C$25*(1+Premissas!$C$27)^(17)/12</f>
        <v>3030.220659164876</v>
      </c>
      <c r="H221" s="94">
        <f>Premissas!$C$63*(1-Premissas!$C$32)^(17)</f>
        <v>50708.287486942601</v>
      </c>
      <c r="I221" s="95">
        <f>MIN(H221,Dimensionador!$C$7*Premissas!$C$13*(Premissas!$C$86+0.9166666667*(Premissas!$C$87-Premissas!$C$86)))</f>
        <v>5412.4666495014217</v>
      </c>
      <c r="J221" s="94">
        <f t="shared" si="18"/>
        <v>45295.820837441177</v>
      </c>
      <c r="K221" s="96">
        <f>Premissas!$C$35*(1+Premissas!$C$27)^(17)/12</f>
        <v>1635.6304694355867</v>
      </c>
      <c r="L221" s="92">
        <f>E221-F221+(I221+J221)*Premissas!$C$20*(1+Premissas!$C$26)^(17)</f>
        <v>151198.94002075653</v>
      </c>
      <c r="M221" s="96">
        <f t="shared" si="19"/>
        <v>146533.08889215605</v>
      </c>
      <c r="N221" s="96">
        <f t="shared" si="20"/>
        <v>16170193.949951839</v>
      </c>
      <c r="O221" s="96">
        <f t="shared" si="21"/>
        <v>18457693.949951839</v>
      </c>
      <c r="P221" s="97" t="str">
        <f t="shared" si="22"/>
        <v/>
      </c>
      <c r="Q221" s="67">
        <f t="shared" si="23"/>
        <v>5412.4666495014217</v>
      </c>
    </row>
    <row r="222" spans="1:17" ht="12.75" customHeight="1" x14ac:dyDescent="0.35">
      <c r="A222" s="59">
        <v>19</v>
      </c>
      <c r="B222" s="60" t="s">
        <v>110</v>
      </c>
      <c r="C222" s="61">
        <f>Premissas!$C$87+0*(Premissas!$C$88-Premissas!$C$87)</f>
        <v>0.67300000000000004</v>
      </c>
      <c r="D222" s="62">
        <f>(1+Premissas!$C$26)^(18)</f>
        <v>3.9960194991849334</v>
      </c>
      <c r="E222" s="63">
        <f>Dimensionador!$C$22*(Premissas!$C$87+0*(Premissas!$C$88-Premissas!$C$87))*Premissas!$C$21*(1+Premissas!$C$26)^(18)</f>
        <v>49901.18157586173</v>
      </c>
      <c r="F222" s="63">
        <f>Dimensionador!$C$7*Premissas!$C$13*(Premissas!$C$87+0*(Premissas!$C$88-Premissas!$C$87))*Premissas!$C$20*(1+Premissas!$C$26)^(18)</f>
        <v>13513.408665984207</v>
      </c>
      <c r="G222" s="64">
        <f>Dimensionador!$C$7*Premissas!$C$25*(1+Premissas!$C$27)^(18)/12</f>
        <v>3121.1272789398226</v>
      </c>
      <c r="H222" s="65">
        <f>Premissas!$C$52*(1-Premissas!$C$32)^(18)</f>
        <v>50454.746049507892</v>
      </c>
      <c r="I222" s="65">
        <f>MIN(H222,Dimensionador!$C$7*Premissas!$C$13*(Premissas!$C$87+0*(Premissas!$C$88-Premissas!$C$87)))</f>
        <v>5402.4324139668634</v>
      </c>
      <c r="J222" s="65">
        <f t="shared" si="18"/>
        <v>45052.313635541032</v>
      </c>
      <c r="K222" s="63">
        <f>Premissas!$C$35*(1+Premissas!$C$27)^(18)/12</f>
        <v>1684.6993835186543</v>
      </c>
      <c r="L222" s="63">
        <f>E222-F222+(I222+J222)*Premissas!$C$20*(1+Premissas!$C$26)^(18)</f>
        <v>162593.07271941521</v>
      </c>
      <c r="M222" s="63">
        <f t="shared" si="19"/>
        <v>157787.24605695673</v>
      </c>
      <c r="N222" s="63">
        <f t="shared" si="20"/>
        <v>16327981.196008796</v>
      </c>
      <c r="O222" s="63">
        <f t="shared" si="21"/>
        <v>18615481.196008794</v>
      </c>
      <c r="P222" s="66" t="str">
        <f t="shared" si="22"/>
        <v/>
      </c>
      <c r="Q222" s="67">
        <f t="shared" si="23"/>
        <v>5402.4324139668634</v>
      </c>
    </row>
    <row r="223" spans="1:17" ht="12.75" customHeight="1" x14ac:dyDescent="0.35">
      <c r="A223" s="68">
        <v>19</v>
      </c>
      <c r="B223" s="60" t="s">
        <v>112</v>
      </c>
      <c r="C223" s="61">
        <f>Premissas!$C$87+0.0833333333*(Premissas!$C$88-Premissas!$C$87)</f>
        <v>0.67183333333380002</v>
      </c>
      <c r="D223" s="62">
        <f>(1+Premissas!$C$26)^(18)</f>
        <v>3.9960194991849334</v>
      </c>
      <c r="E223" s="63">
        <f>Dimensionador!$C$22*(Premissas!$C$87+0.0833333333*(Premissas!$C$88-Premissas!$C$87))*Premissas!$C$21*(1+Premissas!$C$26)^(18)</f>
        <v>49814.676308181864</v>
      </c>
      <c r="F223" s="63">
        <f>Dimensionador!$C$7*Premissas!$C$13*(Premissas!$C$87+0.0833333333*(Premissas!$C$88-Premissas!$C$87))*Premissas!$C$20*(1+Premissas!$C$26)^(18)</f>
        <v>13489.982747057993</v>
      </c>
      <c r="G223" s="64">
        <f>Dimensionador!$C$7*Premissas!$C$25*(1+Premissas!$C$27)^(18)/12</f>
        <v>3121.1272789398226</v>
      </c>
      <c r="H223" s="65">
        <f>Premissas!$C$53*(1-Premissas!$C$32)^(18)</f>
        <v>45572.028689878098</v>
      </c>
      <c r="I223" s="65">
        <f>MIN(H223,Dimensionador!$C$7*Premissas!$C$13*(Premissas!$C$87+0.0833333333*(Premissas!$C$88-Premissas!$C$87)))</f>
        <v>5393.0671274679426</v>
      </c>
      <c r="J223" s="65">
        <f t="shared" si="18"/>
        <v>40178.961562410157</v>
      </c>
      <c r="K223" s="63">
        <f>Premissas!$C$35*(1+Premissas!$C$27)^(18)/12</f>
        <v>1684.6993835186543</v>
      </c>
      <c r="L223" s="63">
        <f>E223-F223+(I223+J223)*Premissas!$C$20*(1+Premissas!$C$26)^(18)</f>
        <v>150316.57726006114</v>
      </c>
      <c r="M223" s="63">
        <f t="shared" si="19"/>
        <v>145510.75059760266</v>
      </c>
      <c r="N223" s="63">
        <f t="shared" si="20"/>
        <v>16473491.946606398</v>
      </c>
      <c r="O223" s="63">
        <f t="shared" si="21"/>
        <v>18760991.946606398</v>
      </c>
      <c r="P223" s="66" t="str">
        <f t="shared" si="22"/>
        <v/>
      </c>
      <c r="Q223" s="67">
        <f t="shared" si="23"/>
        <v>5393.0671274679426</v>
      </c>
    </row>
    <row r="224" spans="1:17" ht="12.75" customHeight="1" x14ac:dyDescent="0.35">
      <c r="A224" s="68">
        <v>19</v>
      </c>
      <c r="B224" s="60" t="s">
        <v>113</v>
      </c>
      <c r="C224" s="61">
        <f>Premissas!$C$87+0.1666666667*(Premissas!$C$88-Premissas!$C$87)</f>
        <v>0.67066666666620001</v>
      </c>
      <c r="D224" s="62">
        <f>(1+Premissas!$C$26)^(18)</f>
        <v>3.9960194991849334</v>
      </c>
      <c r="E224" s="63">
        <f>Dimensionador!$C$22*(Premissas!$C$87+0.1666666667*(Premissas!$C$88-Premissas!$C$87))*Premissas!$C$21*(1+Premissas!$C$26)^(18)</f>
        <v>49728.171040398192</v>
      </c>
      <c r="F224" s="63">
        <f>Dimensionador!$C$7*Premissas!$C$13*(Premissas!$C$87+0.1666666667*(Premissas!$C$88-Premissas!$C$87))*Premissas!$C$20*(1+Premissas!$C$26)^(18)</f>
        <v>13466.556828103667</v>
      </c>
      <c r="G224" s="64">
        <f>Dimensionador!$C$7*Premissas!$C$25*(1+Premissas!$C$27)^(18)/12</f>
        <v>3121.1272789398226</v>
      </c>
      <c r="H224" s="65">
        <f>Premissas!$C$54*(1-Premissas!$C$32)^(18)</f>
        <v>50454.746049507892</v>
      </c>
      <c r="I224" s="65">
        <f>MIN(H224,Dimensionador!$C$7*Premissas!$C$13*(Premissas!$C$87+0.1666666667*(Premissas!$C$88-Premissas!$C$87)))</f>
        <v>5383.7018409577831</v>
      </c>
      <c r="J224" s="65">
        <f t="shared" si="18"/>
        <v>45071.044208550113</v>
      </c>
      <c r="K224" s="63">
        <f>Premissas!$C$35*(1+Premissas!$C$27)^(18)/12</f>
        <v>1684.6993835186543</v>
      </c>
      <c r="L224" s="63">
        <f>E224-F224+(I224+J224)*Premissas!$C$20*(1+Premissas!$C$26)^(18)</f>
        <v>162466.91402183223</v>
      </c>
      <c r="M224" s="63">
        <f t="shared" si="19"/>
        <v>157661.08735937375</v>
      </c>
      <c r="N224" s="63">
        <f t="shared" si="20"/>
        <v>16631153.033965772</v>
      </c>
      <c r="O224" s="63">
        <f t="shared" si="21"/>
        <v>18918653.03396577</v>
      </c>
      <c r="P224" s="66" t="str">
        <f t="shared" si="22"/>
        <v/>
      </c>
      <c r="Q224" s="67">
        <f t="shared" si="23"/>
        <v>5383.7018409577831</v>
      </c>
    </row>
    <row r="225" spans="1:17" ht="12.75" customHeight="1" x14ac:dyDescent="0.35">
      <c r="A225" s="68">
        <v>19</v>
      </c>
      <c r="B225" s="60" t="s">
        <v>114</v>
      </c>
      <c r="C225" s="61">
        <f>Premissas!$C$87+0.25*(Premissas!$C$88-Premissas!$C$87)</f>
        <v>0.66949999999999998</v>
      </c>
      <c r="D225" s="62">
        <f>(1+Premissas!$C$26)^(18)</f>
        <v>3.9960194991849334</v>
      </c>
      <c r="E225" s="63">
        <f>Dimensionador!$C$22*(Premissas!$C$87+0.25*(Premissas!$C$88-Premissas!$C$87))*Premissas!$C$21*(1+Premissas!$C$26)^(18)</f>
        <v>49641.665772718326</v>
      </c>
      <c r="F225" s="63">
        <f>Dimensionador!$C$7*Premissas!$C$13*(Premissas!$C$87+0.25*(Premissas!$C$88-Premissas!$C$87))*Premissas!$C$20*(1+Premissas!$C$26)^(18)</f>
        <v>13443.130909177451</v>
      </c>
      <c r="G225" s="64">
        <f>Dimensionador!$C$7*Premissas!$C$25*(1+Premissas!$C$27)^(18)/12</f>
        <v>3121.1272789398226</v>
      </c>
      <c r="H225" s="65">
        <f>Premissas!$C$55*(1-Premissas!$C$32)^(18)</f>
        <v>48827.173596297958</v>
      </c>
      <c r="I225" s="65">
        <f>MIN(H225,Dimensionador!$C$7*Premissas!$C$13*(Premissas!$C$87+0.25*(Premissas!$C$88-Premissas!$C$87)))</f>
        <v>5374.3365544588623</v>
      </c>
      <c r="J225" s="65">
        <f t="shared" si="18"/>
        <v>43452.837041839099</v>
      </c>
      <c r="K225" s="63">
        <f>Premissas!$C$35*(1+Premissas!$C$27)^(18)/12</f>
        <v>1684.6993835186543</v>
      </c>
      <c r="L225" s="63">
        <f>E225-F225+(I225+J225)*Premissas!$C$20*(1+Premissas!$C$26)^(18)</f>
        <v>158332.69596954508</v>
      </c>
      <c r="M225" s="63">
        <f t="shared" si="19"/>
        <v>153526.8693070866</v>
      </c>
      <c r="N225" s="63">
        <f t="shared" si="20"/>
        <v>16784679.90327286</v>
      </c>
      <c r="O225" s="63">
        <f t="shared" si="21"/>
        <v>19072179.903272856</v>
      </c>
      <c r="P225" s="66" t="str">
        <f t="shared" si="22"/>
        <v/>
      </c>
      <c r="Q225" s="67">
        <f t="shared" si="23"/>
        <v>5374.3365544588623</v>
      </c>
    </row>
    <row r="226" spans="1:17" ht="12.75" customHeight="1" x14ac:dyDescent="0.35">
      <c r="A226" s="68">
        <v>19</v>
      </c>
      <c r="B226" s="60" t="s">
        <v>115</v>
      </c>
      <c r="C226" s="61">
        <f>Premissas!$C$87+0.3333333333*(Premissas!$C$88-Premissas!$C$87)</f>
        <v>0.66833333333380007</v>
      </c>
      <c r="D226" s="62">
        <f>(1+Premissas!$C$26)^(18)</f>
        <v>3.9960194991849334</v>
      </c>
      <c r="E226" s="63">
        <f>Dimensionador!$C$22*(Premissas!$C$87+0.3333333333*(Premissas!$C$88-Premissas!$C$87))*Premissas!$C$21*(1+Premissas!$C$26)^(18)</f>
        <v>49555.160505038453</v>
      </c>
      <c r="F226" s="63">
        <f>Dimensionador!$C$7*Premissas!$C$13*(Premissas!$C$87+0.3333333333*(Premissas!$C$88-Premissas!$C$87))*Premissas!$C$20*(1+Premissas!$C$26)^(18)</f>
        <v>13419.704990251239</v>
      </c>
      <c r="G226" s="64">
        <f>Dimensionador!$C$7*Premissas!$C$25*(1+Premissas!$C$27)^(18)/12</f>
        <v>3121.1272789398226</v>
      </c>
      <c r="H226" s="65">
        <f>Premissas!$C$56*(1-Premissas!$C$32)^(18)</f>
        <v>50454.746049507892</v>
      </c>
      <c r="I226" s="65">
        <f>MIN(H226,Dimensionador!$C$7*Premissas!$C$13*(Premissas!$C$87+0.3333333333*(Premissas!$C$88-Premissas!$C$87)))</f>
        <v>5364.9712679599425</v>
      </c>
      <c r="J226" s="65">
        <f t="shared" si="18"/>
        <v>45089.774781547952</v>
      </c>
      <c r="K226" s="63">
        <f>Premissas!$C$35*(1+Premissas!$C$27)^(18)/12</f>
        <v>1684.6993835186543</v>
      </c>
      <c r="L226" s="63">
        <f>E226-F226+(I226+J226)*Premissas!$C$20*(1+Premissas!$C$26)^(18)</f>
        <v>162340.75532432491</v>
      </c>
      <c r="M226" s="63">
        <f t="shared" si="19"/>
        <v>157534.92866186643</v>
      </c>
      <c r="N226" s="63">
        <f t="shared" si="20"/>
        <v>16942214.831934728</v>
      </c>
      <c r="O226" s="63">
        <f t="shared" si="21"/>
        <v>19229714.831934724</v>
      </c>
      <c r="P226" s="66" t="str">
        <f t="shared" si="22"/>
        <v/>
      </c>
      <c r="Q226" s="67">
        <f t="shared" si="23"/>
        <v>5364.9712679599425</v>
      </c>
    </row>
    <row r="227" spans="1:17" ht="12.75" customHeight="1" x14ac:dyDescent="0.35">
      <c r="A227" s="68">
        <v>19</v>
      </c>
      <c r="B227" s="60" t="s">
        <v>116</v>
      </c>
      <c r="C227" s="61">
        <f>Premissas!$C$87+0.4166666667*(Premissas!$C$88-Premissas!$C$87)</f>
        <v>0.66716666666620006</v>
      </c>
      <c r="D227" s="62">
        <f>(1+Premissas!$C$26)^(18)</f>
        <v>3.9960194991849334</v>
      </c>
      <c r="E227" s="63">
        <f>Dimensionador!$C$22*(Premissas!$C$87+0.4166666667*(Premissas!$C$88-Premissas!$C$87))*Premissas!$C$21*(1+Premissas!$C$26)^(18)</f>
        <v>49468.655237254781</v>
      </c>
      <c r="F227" s="63">
        <f>Dimensionador!$C$7*Premissas!$C$13*(Premissas!$C$87+0.4166666667*(Premissas!$C$88-Premissas!$C$87))*Premissas!$C$20*(1+Premissas!$C$26)^(18)</f>
        <v>13396.279071296914</v>
      </c>
      <c r="G227" s="64">
        <f>Dimensionador!$C$7*Premissas!$C$25*(1+Premissas!$C$27)^(18)/12</f>
        <v>3121.1272789398226</v>
      </c>
      <c r="H227" s="65">
        <f>Premissas!$C$57*(1-Premissas!$C$32)^(18)</f>
        <v>48827.173596297958</v>
      </c>
      <c r="I227" s="65">
        <f>MIN(H227,Dimensionador!$C$7*Premissas!$C$13*(Premissas!$C$87+0.4166666667*(Premissas!$C$88-Premissas!$C$87)))</f>
        <v>5355.6059814497839</v>
      </c>
      <c r="J227" s="65">
        <f t="shared" si="18"/>
        <v>43471.567614848173</v>
      </c>
      <c r="K227" s="63">
        <f>Premissas!$C$35*(1+Premissas!$C$27)^(18)/12</f>
        <v>1684.6993835186543</v>
      </c>
      <c r="L227" s="63">
        <f>E227-F227+(I227+J227)*Premissas!$C$20*(1+Premissas!$C$26)^(18)</f>
        <v>158206.53727196206</v>
      </c>
      <c r="M227" s="63">
        <f t="shared" si="19"/>
        <v>153400.71060950359</v>
      </c>
      <c r="N227" s="63">
        <f t="shared" si="20"/>
        <v>17095615.542544231</v>
      </c>
      <c r="O227" s="63">
        <f t="shared" si="21"/>
        <v>19383115.542544227</v>
      </c>
      <c r="P227" s="66" t="str">
        <f t="shared" si="22"/>
        <v/>
      </c>
      <c r="Q227" s="67">
        <f t="shared" si="23"/>
        <v>5355.6059814497839</v>
      </c>
    </row>
    <row r="228" spans="1:17" ht="12.75" customHeight="1" x14ac:dyDescent="0.35">
      <c r="A228" s="68">
        <v>19</v>
      </c>
      <c r="B228" s="60" t="s">
        <v>117</v>
      </c>
      <c r="C228" s="61">
        <f>Premissas!$C$87+0.5*(Premissas!$C$88-Premissas!$C$87)</f>
        <v>0.66600000000000004</v>
      </c>
      <c r="D228" s="62">
        <f>(1+Premissas!$C$26)^(18)</f>
        <v>3.9960194991849334</v>
      </c>
      <c r="E228" s="63">
        <f>Dimensionador!$C$22*(Premissas!$C$87+0.5*(Premissas!$C$88-Premissas!$C$87))*Premissas!$C$21*(1+Premissas!$C$26)^(18)</f>
        <v>49382.149969574915</v>
      </c>
      <c r="F228" s="63">
        <f>Dimensionador!$C$7*Premissas!$C$13*(Premissas!$C$87+0.5*(Premissas!$C$88-Premissas!$C$87))*Premissas!$C$20*(1+Premissas!$C$26)^(18)</f>
        <v>13372.853152370701</v>
      </c>
      <c r="G228" s="64">
        <f>Dimensionador!$C$7*Premissas!$C$25*(1+Premissas!$C$27)^(18)/12</f>
        <v>3121.1272789398226</v>
      </c>
      <c r="H228" s="65">
        <f>Premissas!$C$58*(1-Premissas!$C$32)^(18)</f>
        <v>50454.746049507892</v>
      </c>
      <c r="I228" s="65">
        <f>MIN(H228,Dimensionador!$C$7*Premissas!$C$13*(Premissas!$C$87+0.5*(Premissas!$C$88-Premissas!$C$87)))</f>
        <v>5346.2406949508631</v>
      </c>
      <c r="J228" s="65">
        <f t="shared" si="18"/>
        <v>45108.505354557026</v>
      </c>
      <c r="K228" s="63">
        <f>Premissas!$C$35*(1+Premissas!$C$27)^(18)/12</f>
        <v>1684.6993835186543</v>
      </c>
      <c r="L228" s="63">
        <f>E228-F228+(I228+J228)*Premissas!$C$20*(1+Premissas!$C$26)^(18)</f>
        <v>162214.59662674193</v>
      </c>
      <c r="M228" s="63">
        <f t="shared" si="19"/>
        <v>157408.76996428345</v>
      </c>
      <c r="N228" s="63">
        <f t="shared" si="20"/>
        <v>17253024.312508516</v>
      </c>
      <c r="O228" s="63">
        <f t="shared" si="21"/>
        <v>19540524.312508512</v>
      </c>
      <c r="P228" s="66" t="str">
        <f t="shared" si="22"/>
        <v/>
      </c>
      <c r="Q228" s="67">
        <f t="shared" si="23"/>
        <v>5346.2406949508631</v>
      </c>
    </row>
    <row r="229" spans="1:17" ht="12.75" customHeight="1" x14ac:dyDescent="0.35">
      <c r="A229" s="68">
        <v>19</v>
      </c>
      <c r="B229" s="60" t="s">
        <v>118</v>
      </c>
      <c r="C229" s="61">
        <f>Premissas!$C$87+0.5833333333*(Premissas!$C$88-Premissas!$C$87)</f>
        <v>0.66483333333380001</v>
      </c>
      <c r="D229" s="62">
        <f>(1+Premissas!$C$26)^(18)</f>
        <v>3.9960194991849334</v>
      </c>
      <c r="E229" s="63">
        <f>Dimensionador!$C$22*(Premissas!$C$87+0.5833333333*(Premissas!$C$88-Premissas!$C$87))*Premissas!$C$21*(1+Premissas!$C$26)^(18)</f>
        <v>49295.644701895042</v>
      </c>
      <c r="F229" s="63">
        <f>Dimensionador!$C$7*Premissas!$C$13*(Premissas!$C$87+0.5833333333*(Premissas!$C$88-Premissas!$C$87))*Premissas!$C$20*(1+Premissas!$C$26)^(18)</f>
        <v>13349.427233444487</v>
      </c>
      <c r="G229" s="64">
        <f>Dimensionador!$C$7*Premissas!$C$25*(1+Premissas!$C$27)^(18)/12</f>
        <v>3121.1272789398226</v>
      </c>
      <c r="H229" s="65">
        <f>Premissas!$C$59*(1-Premissas!$C$32)^(18)</f>
        <v>50454.746049507892</v>
      </c>
      <c r="I229" s="65">
        <f>MIN(H229,Dimensionador!$C$7*Premissas!$C$13*(Premissas!$C$87+0.5833333333*(Premissas!$C$88-Premissas!$C$87)))</f>
        <v>5336.8754084519423</v>
      </c>
      <c r="J229" s="65">
        <f t="shared" si="18"/>
        <v>45117.870641055953</v>
      </c>
      <c r="K229" s="63">
        <f>Premissas!$C$35*(1+Premissas!$C$27)^(18)/12</f>
        <v>1684.6993835186543</v>
      </c>
      <c r="L229" s="63">
        <f>E229-F229+(I229+J229)*Premissas!$C$20*(1+Premissas!$C$26)^(18)</f>
        <v>162151.51727798826</v>
      </c>
      <c r="M229" s="63">
        <f t="shared" si="19"/>
        <v>157345.69061552978</v>
      </c>
      <c r="N229" s="63">
        <f t="shared" si="20"/>
        <v>17410370.003124047</v>
      </c>
      <c r="O229" s="63">
        <f t="shared" si="21"/>
        <v>19697870.003124043</v>
      </c>
      <c r="P229" s="66" t="str">
        <f t="shared" si="22"/>
        <v/>
      </c>
      <c r="Q229" s="67">
        <f t="shared" si="23"/>
        <v>5336.8754084519423</v>
      </c>
    </row>
    <row r="230" spans="1:17" ht="12.75" customHeight="1" x14ac:dyDescent="0.35">
      <c r="A230" s="68">
        <v>19</v>
      </c>
      <c r="B230" s="60" t="s">
        <v>119</v>
      </c>
      <c r="C230" s="61">
        <f>Premissas!$C$87+0.6666666667*(Premissas!$C$88-Premissas!$C$87)</f>
        <v>0.6636666666662</v>
      </c>
      <c r="D230" s="62">
        <f>(1+Premissas!$C$26)^(18)</f>
        <v>3.9960194991849334</v>
      </c>
      <c r="E230" s="63">
        <f>Dimensionador!$C$22*(Premissas!$C$87+0.6666666667*(Premissas!$C$88-Premissas!$C$87))*Premissas!$C$21*(1+Premissas!$C$26)^(18)</f>
        <v>49209.139434111363</v>
      </c>
      <c r="F230" s="63">
        <f>Dimensionador!$C$7*Premissas!$C$13*(Premissas!$C$87+0.6666666667*(Premissas!$C$88-Premissas!$C$87))*Premissas!$C$20*(1+Premissas!$C$26)^(18)</f>
        <v>13326.001314490162</v>
      </c>
      <c r="G230" s="64">
        <f>Dimensionador!$C$7*Premissas!$C$25*(1+Premissas!$C$27)^(18)/12</f>
        <v>3121.1272789398226</v>
      </c>
      <c r="H230" s="65">
        <f>Premissas!$C$60*(1-Premissas!$C$32)^(18)</f>
        <v>48827.173596297958</v>
      </c>
      <c r="I230" s="65">
        <f>MIN(H230,Dimensionador!$C$7*Premissas!$C$13*(Premissas!$C$87+0.6666666667*(Premissas!$C$88-Premissas!$C$87)))</f>
        <v>5327.5101219417838</v>
      </c>
      <c r="J230" s="65">
        <f t="shared" si="18"/>
        <v>43499.663474356174</v>
      </c>
      <c r="K230" s="63">
        <f>Premissas!$C$35*(1+Premissas!$C$27)^(18)/12</f>
        <v>1684.6993835186543</v>
      </c>
      <c r="L230" s="63">
        <f>E230-F230+(I230+J230)*Premissas!$C$20*(1+Premissas!$C$26)^(18)</f>
        <v>158017.29922562541</v>
      </c>
      <c r="M230" s="63">
        <f t="shared" si="19"/>
        <v>153211.47256316693</v>
      </c>
      <c r="N230" s="63">
        <f t="shared" si="20"/>
        <v>17563581.475687213</v>
      </c>
      <c r="O230" s="63">
        <f t="shared" si="21"/>
        <v>19851081.47568721</v>
      </c>
      <c r="P230" s="66" t="str">
        <f t="shared" si="22"/>
        <v/>
      </c>
      <c r="Q230" s="67">
        <f t="shared" si="23"/>
        <v>5327.5101219417838</v>
      </c>
    </row>
    <row r="231" spans="1:17" ht="12.75" customHeight="1" x14ac:dyDescent="0.35">
      <c r="A231" s="68">
        <v>19</v>
      </c>
      <c r="B231" s="60" t="s">
        <v>120</v>
      </c>
      <c r="C231" s="61">
        <f>Premissas!$C$87+0.75*(Premissas!$C$88-Premissas!$C$87)</f>
        <v>0.66250000000000009</v>
      </c>
      <c r="D231" s="62">
        <f>(1+Premissas!$C$26)^(18)</f>
        <v>3.9960194991849334</v>
      </c>
      <c r="E231" s="63">
        <f>Dimensionador!$C$22*(Premissas!$C$87+0.75*(Premissas!$C$88-Premissas!$C$87))*Premissas!$C$21*(1+Premissas!$C$26)^(18)</f>
        <v>49122.634166431504</v>
      </c>
      <c r="F231" s="63">
        <f>Dimensionador!$C$7*Premissas!$C$13*(Premissas!$C$87+0.75*(Premissas!$C$88-Premissas!$C$87))*Premissas!$C$20*(1+Premissas!$C$26)^(18)</f>
        <v>13302.57539556395</v>
      </c>
      <c r="G231" s="64">
        <f>Dimensionador!$C$7*Premissas!$C$25*(1+Premissas!$C$27)^(18)/12</f>
        <v>3121.1272789398226</v>
      </c>
      <c r="H231" s="65">
        <f>Premissas!$C$61*(1-Premissas!$C$32)^(18)</f>
        <v>50454.746049507892</v>
      </c>
      <c r="I231" s="65">
        <f>MIN(H231,Dimensionador!$C$7*Premissas!$C$13*(Premissas!$C$87+0.75*(Premissas!$C$88-Premissas!$C$87)))</f>
        <v>5318.144835442864</v>
      </c>
      <c r="J231" s="65">
        <f t="shared" si="18"/>
        <v>45136.601214065027</v>
      </c>
      <c r="K231" s="63">
        <f>Premissas!$C$35*(1+Premissas!$C$27)^(18)/12</f>
        <v>1684.6993835186543</v>
      </c>
      <c r="L231" s="63">
        <f>E231-F231+(I231+J231)*Premissas!$C$20*(1+Premissas!$C$26)^(18)</f>
        <v>162025.35858040524</v>
      </c>
      <c r="M231" s="63">
        <f t="shared" si="19"/>
        <v>157219.53191794676</v>
      </c>
      <c r="N231" s="63">
        <f t="shared" si="20"/>
        <v>17720801.007605162</v>
      </c>
      <c r="O231" s="63">
        <f t="shared" si="21"/>
        <v>20008301.007605158</v>
      </c>
      <c r="P231" s="66" t="str">
        <f t="shared" si="22"/>
        <v/>
      </c>
      <c r="Q231" s="67">
        <f t="shared" si="23"/>
        <v>5318.144835442864</v>
      </c>
    </row>
    <row r="232" spans="1:17" ht="12.75" customHeight="1" x14ac:dyDescent="0.35">
      <c r="A232" s="68">
        <v>19</v>
      </c>
      <c r="B232" s="60" t="s">
        <v>121</v>
      </c>
      <c r="C232" s="61">
        <f>Premissas!$C$87+0.8333333333*(Premissas!$C$88-Premissas!$C$87)</f>
        <v>0.66133333333380007</v>
      </c>
      <c r="D232" s="62">
        <f>(1+Premissas!$C$26)^(18)</f>
        <v>3.9960194991849334</v>
      </c>
      <c r="E232" s="63">
        <f>Dimensionador!$C$22*(Premissas!$C$87+0.8333333333*(Premissas!$C$88-Premissas!$C$87))*Premissas!$C$21*(1+Premissas!$C$26)^(18)</f>
        <v>49036.128898751631</v>
      </c>
      <c r="F232" s="63">
        <f>Dimensionador!$C$7*Premissas!$C$13*(Premissas!$C$87+0.8333333333*(Premissas!$C$88-Premissas!$C$87))*Premissas!$C$20*(1+Premissas!$C$26)^(18)</f>
        <v>13279.149476637736</v>
      </c>
      <c r="G232" s="64">
        <f>Dimensionador!$C$7*Premissas!$C$25*(1+Premissas!$C$27)^(18)/12</f>
        <v>3121.1272789398226</v>
      </c>
      <c r="H232" s="65">
        <f>Premissas!$C$62*(1-Premissas!$C$32)^(18)</f>
        <v>48827.173596297958</v>
      </c>
      <c r="I232" s="65">
        <f>MIN(H232,Dimensionador!$C$7*Premissas!$C$13*(Premissas!$C$87+0.8333333333*(Premissas!$C$88-Premissas!$C$87)))</f>
        <v>5308.7795489439432</v>
      </c>
      <c r="J232" s="65">
        <f t="shared" si="18"/>
        <v>43518.394047354013</v>
      </c>
      <c r="K232" s="63">
        <f>Premissas!$C$35*(1+Premissas!$C$27)^(18)/12</f>
        <v>1684.6993835186543</v>
      </c>
      <c r="L232" s="63">
        <f>E232-F232+(I232+J232)*Premissas!$C$20*(1+Premissas!$C$26)^(18)</f>
        <v>157891.14052811809</v>
      </c>
      <c r="M232" s="63">
        <f t="shared" si="19"/>
        <v>153085.31386565961</v>
      </c>
      <c r="N232" s="63">
        <f t="shared" si="20"/>
        <v>17873886.321470819</v>
      </c>
      <c r="O232" s="63">
        <f t="shared" si="21"/>
        <v>20161386.321470816</v>
      </c>
      <c r="P232" s="66" t="str">
        <f t="shared" si="22"/>
        <v/>
      </c>
      <c r="Q232" s="67">
        <f t="shared" si="23"/>
        <v>5308.7795489439432</v>
      </c>
    </row>
    <row r="233" spans="1:17" ht="12.75" customHeight="1" x14ac:dyDescent="0.35">
      <c r="A233" s="69">
        <v>19</v>
      </c>
      <c r="B233" s="70" t="s">
        <v>122</v>
      </c>
      <c r="C233" s="71">
        <f>Premissas!$C$87+0.9166666667*(Premissas!$C$88-Premissas!$C$87)</f>
        <v>0.66016666666620005</v>
      </c>
      <c r="D233" s="72">
        <f>(1+Premissas!$C$26)^(18)</f>
        <v>3.9960194991849334</v>
      </c>
      <c r="E233" s="73">
        <f>Dimensionador!$C$22*(Premissas!$C$87+0.9166666667*(Premissas!$C$88-Premissas!$C$87))*Premissas!$C$21*(1+Premissas!$C$26)^(18)</f>
        <v>48949.623630967959</v>
      </c>
      <c r="F233" s="73">
        <f>Dimensionador!$C$7*Premissas!$C$13*(Premissas!$C$87+0.9166666667*(Premissas!$C$88-Premissas!$C$87))*Premissas!$C$20*(1+Premissas!$C$26)^(18)</f>
        <v>13255.723557683408</v>
      </c>
      <c r="G233" s="74">
        <f>Dimensionador!$C$7*Premissas!$C$25*(1+Premissas!$C$27)^(18)/12</f>
        <v>3121.1272789398226</v>
      </c>
      <c r="H233" s="75">
        <f>Premissas!$C$63*(1-Premissas!$C$32)^(18)</f>
        <v>50454.746049507892</v>
      </c>
      <c r="I233" s="76">
        <f>MIN(H233,Dimensionador!$C$7*Premissas!$C$13*(Premissas!$C$87+0.9166666667*(Premissas!$C$88-Premissas!$C$87)))</f>
        <v>5299.4142624337837</v>
      </c>
      <c r="J233" s="75">
        <f t="shared" si="18"/>
        <v>45155.331787074108</v>
      </c>
      <c r="K233" s="77">
        <f>Premissas!$C$35*(1+Premissas!$C$27)^(18)/12</f>
        <v>1684.6993835186543</v>
      </c>
      <c r="L233" s="73">
        <f>E233-F233+(I233+J233)*Premissas!$C$20*(1+Premissas!$C$26)^(18)</f>
        <v>161899.19988282226</v>
      </c>
      <c r="M233" s="77">
        <f t="shared" si="19"/>
        <v>157093.37322036378</v>
      </c>
      <c r="N233" s="77">
        <f t="shared" si="20"/>
        <v>18030979.694691185</v>
      </c>
      <c r="O233" s="77">
        <f t="shared" si="21"/>
        <v>20318479.694691181</v>
      </c>
      <c r="P233" s="78" t="str">
        <f t="shared" si="22"/>
        <v/>
      </c>
      <c r="Q233" s="67">
        <f t="shared" si="23"/>
        <v>5299.4142624337837</v>
      </c>
    </row>
    <row r="234" spans="1:17" ht="12.75" customHeight="1" x14ac:dyDescent="0.35">
      <c r="A234" s="79">
        <v>20</v>
      </c>
      <c r="B234" s="80" t="s">
        <v>110</v>
      </c>
      <c r="C234" s="81">
        <f>Premissas!$C$88+0*(Premissas!$C$89-Premissas!$C$88)</f>
        <v>0.65900000000000003</v>
      </c>
      <c r="D234" s="82">
        <f>(1+Premissas!$C$26)^(19)</f>
        <v>4.3157010591197285</v>
      </c>
      <c r="E234" s="83">
        <f>Dimensionador!$C$22*(Premissas!$C$88+0*(Premissas!$C$89-Premissas!$C$88))*Premissas!$C$21*(1+Premissas!$C$26)^(19)</f>
        <v>52772.167832351137</v>
      </c>
      <c r="F234" s="83">
        <f>Dimensionador!$C$7*Premissas!$C$13*(Premissas!$C$88+0*(Premissas!$C$89-Premissas!$C$88))*Premissas!$C$20*(1+Premissas!$C$26)^(19)</f>
        <v>14290.88144985777</v>
      </c>
      <c r="G234" s="84">
        <f>Dimensionador!$C$7*Premissas!$C$25*(1+Premissas!$C$27)^(19)/12</f>
        <v>3214.7610973080173</v>
      </c>
      <c r="H234" s="85">
        <f>Premissas!$C$52*(1-Premissas!$C$32)^(19)</f>
        <v>50202.472319260349</v>
      </c>
      <c r="I234" s="85">
        <f>MIN(H234,Dimensionador!$C$7*Premissas!$C$13*(Premissas!$C$88+0*(Premissas!$C$89-Premissas!$C$88)))</f>
        <v>5290.0489759348629</v>
      </c>
      <c r="J234" s="85">
        <f t="shared" si="18"/>
        <v>44912.423343325485</v>
      </c>
      <c r="K234" s="83">
        <f>Premissas!$C$35*(1+Premissas!$C$27)^(19)/12</f>
        <v>1735.2403650242138</v>
      </c>
      <c r="L234" s="83">
        <f>E234-F234+(I234+J234)*Premissas!$C$20*(1+Premissas!$C$26)^(19)</f>
        <v>174101.50155782254</v>
      </c>
      <c r="M234" s="83">
        <f t="shared" si="19"/>
        <v>169151.50009549031</v>
      </c>
      <c r="N234" s="83">
        <f t="shared" si="20"/>
        <v>18200131.194786675</v>
      </c>
      <c r="O234" s="83">
        <f t="shared" si="21"/>
        <v>20487631.194786672</v>
      </c>
      <c r="P234" s="86" t="str">
        <f t="shared" si="22"/>
        <v/>
      </c>
      <c r="Q234" s="67">
        <f t="shared" si="23"/>
        <v>5290.0489759348629</v>
      </c>
    </row>
    <row r="235" spans="1:17" ht="12.75" customHeight="1" x14ac:dyDescent="0.35">
      <c r="A235" s="87">
        <v>20</v>
      </c>
      <c r="B235" s="80" t="s">
        <v>112</v>
      </c>
      <c r="C235" s="81">
        <f>Premissas!$C$88+0.0833333333*(Premissas!$C$89-Premissas!$C$88)</f>
        <v>0.65783333333380001</v>
      </c>
      <c r="D235" s="82">
        <f>(1+Premissas!$C$26)^(19)</f>
        <v>4.3157010591197285</v>
      </c>
      <c r="E235" s="83">
        <f>Dimensionador!$C$22*(Premissas!$C$88+0.0833333333*(Premissas!$C$89-Premissas!$C$88))*Premissas!$C$21*(1+Premissas!$C$26)^(19)</f>
        <v>52678.742143256874</v>
      </c>
      <c r="F235" s="83">
        <f>Dimensionador!$C$7*Premissas!$C$13*(Premissas!$C$88+0.0833333333*(Premissas!$C$89-Premissas!$C$88))*Premissas!$C$20*(1+Premissas!$C$26)^(19)</f>
        <v>14265.58145741746</v>
      </c>
      <c r="G235" s="84">
        <f>Dimensionador!$C$7*Premissas!$C$25*(1+Premissas!$C$27)^(19)/12</f>
        <v>3214.7610973080173</v>
      </c>
      <c r="H235" s="85">
        <f>Premissas!$C$53*(1-Premissas!$C$32)^(19)</f>
        <v>45344.1685464287</v>
      </c>
      <c r="I235" s="85">
        <f>MIN(H235,Dimensionador!$C$7*Premissas!$C$13*(Premissas!$C$88+0.0833333333*(Premissas!$C$89-Premissas!$C$88)))</f>
        <v>5280.6836894359421</v>
      </c>
      <c r="J235" s="85">
        <f t="shared" si="18"/>
        <v>40063.484856992756</v>
      </c>
      <c r="K235" s="83">
        <f>Premissas!$C$35*(1+Premissas!$C$27)^(19)/12</f>
        <v>1735.2403650242138</v>
      </c>
      <c r="L235" s="83">
        <f>E235-F235+(I235+J235)*Premissas!$C$20*(1+Premissas!$C$26)^(19)</f>
        <v>160908.83890871739</v>
      </c>
      <c r="M235" s="83">
        <f t="shared" si="19"/>
        <v>155958.83744638515</v>
      </c>
      <c r="N235" s="83">
        <f t="shared" si="20"/>
        <v>18356090.032233059</v>
      </c>
      <c r="O235" s="83">
        <f t="shared" si="21"/>
        <v>20643590.032233056</v>
      </c>
      <c r="P235" s="86" t="str">
        <f t="shared" si="22"/>
        <v/>
      </c>
      <c r="Q235" s="67">
        <f t="shared" si="23"/>
        <v>5280.6836894359421</v>
      </c>
    </row>
    <row r="236" spans="1:17" ht="12.75" customHeight="1" x14ac:dyDescent="0.35">
      <c r="A236" s="87">
        <v>20</v>
      </c>
      <c r="B236" s="80" t="s">
        <v>113</v>
      </c>
      <c r="C236" s="81">
        <f>Premissas!$C$88+0.1666666667*(Premissas!$C$89-Premissas!$C$88)</f>
        <v>0.65666666666619999</v>
      </c>
      <c r="D236" s="82">
        <f>(1+Premissas!$C$26)^(19)</f>
        <v>4.3157010591197285</v>
      </c>
      <c r="E236" s="83">
        <f>Dimensionador!$C$22*(Premissas!$C$88+0.1666666667*(Premissas!$C$89-Premissas!$C$88))*Premissas!$C$21*(1+Premissas!$C$26)^(19)</f>
        <v>52585.316454050517</v>
      </c>
      <c r="F236" s="83">
        <f>Dimensionador!$C$7*Premissas!$C$13*(Premissas!$C$88+0.1666666667*(Premissas!$C$89-Premissas!$C$88))*Premissas!$C$20*(1+Premissas!$C$26)^(19)</f>
        <v>14240.281464946789</v>
      </c>
      <c r="G236" s="84">
        <f>Dimensionador!$C$7*Premissas!$C$25*(1+Premissas!$C$27)^(19)/12</f>
        <v>3214.7610973080173</v>
      </c>
      <c r="H236" s="85">
        <f>Premissas!$C$54*(1-Premissas!$C$32)^(19)</f>
        <v>50202.472319260349</v>
      </c>
      <c r="I236" s="85">
        <f>MIN(H236,Dimensionador!$C$7*Premissas!$C$13*(Premissas!$C$88+0.1666666667*(Premissas!$C$89-Premissas!$C$88)))</f>
        <v>5271.3184029257836</v>
      </c>
      <c r="J236" s="85">
        <f t="shared" si="18"/>
        <v>44931.153916334566</v>
      </c>
      <c r="K236" s="83">
        <f>Premissas!$C$35*(1+Premissas!$C$27)^(19)/12</f>
        <v>1735.2403650242138</v>
      </c>
      <c r="L236" s="83">
        <f>E236-F236+(I236+J236)*Premissas!$C$20*(1+Premissas!$C$26)^(19)</f>
        <v>173965.25016443292</v>
      </c>
      <c r="M236" s="83">
        <f t="shared" si="19"/>
        <v>169015.24870210068</v>
      </c>
      <c r="N236" s="83">
        <f t="shared" si="20"/>
        <v>18525105.280935161</v>
      </c>
      <c r="O236" s="83">
        <f t="shared" si="21"/>
        <v>20812605.280935157</v>
      </c>
      <c r="P236" s="86" t="str">
        <f t="shared" si="22"/>
        <v/>
      </c>
      <c r="Q236" s="67">
        <f t="shared" si="23"/>
        <v>5271.3184029257836</v>
      </c>
    </row>
    <row r="237" spans="1:17" ht="12.75" customHeight="1" x14ac:dyDescent="0.35">
      <c r="A237" s="87">
        <v>20</v>
      </c>
      <c r="B237" s="80" t="s">
        <v>114</v>
      </c>
      <c r="C237" s="81">
        <f>Premissas!$C$88+0.25*(Premissas!$C$89-Premissas!$C$88)</f>
        <v>0.65549999999999997</v>
      </c>
      <c r="D237" s="82">
        <f>(1+Premissas!$C$26)^(19)</f>
        <v>4.3157010591197285</v>
      </c>
      <c r="E237" s="83">
        <f>Dimensionador!$C$22*(Premissas!$C$88+0.25*(Premissas!$C$89-Premissas!$C$88))*Premissas!$C$21*(1+Premissas!$C$26)^(19)</f>
        <v>52491.890764956246</v>
      </c>
      <c r="F237" s="83">
        <f>Dimensionador!$C$7*Premissas!$C$13*(Premissas!$C$88+0.25*(Premissas!$C$89-Premissas!$C$88))*Premissas!$C$20*(1+Premissas!$C$26)^(19)</f>
        <v>14214.981472506479</v>
      </c>
      <c r="G237" s="84">
        <f>Dimensionador!$C$7*Premissas!$C$25*(1+Premissas!$C$27)^(19)/12</f>
        <v>3214.7610973080173</v>
      </c>
      <c r="H237" s="85">
        <f>Premissas!$C$55*(1-Premissas!$C$32)^(19)</f>
        <v>48583.037728316463</v>
      </c>
      <c r="I237" s="85">
        <f>MIN(H237,Dimensionador!$C$7*Premissas!$C$13*(Premissas!$C$88+0.25*(Premissas!$C$89-Premissas!$C$88)))</f>
        <v>5261.9531164268628</v>
      </c>
      <c r="J237" s="85">
        <f t="shared" si="18"/>
        <v>43321.084611889601</v>
      </c>
      <c r="K237" s="83">
        <f>Premissas!$C$35*(1+Premissas!$C$27)^(19)/12</f>
        <v>1735.2403650242138</v>
      </c>
      <c r="L237" s="83">
        <f>E237-F237+(I237+J237)*Premissas!$C$20*(1+Premissas!$C$26)^(19)</f>
        <v>169522.27881696189</v>
      </c>
      <c r="M237" s="83">
        <f t="shared" si="19"/>
        <v>164572.27735462965</v>
      </c>
      <c r="N237" s="83">
        <f t="shared" si="20"/>
        <v>18689677.558289789</v>
      </c>
      <c r="O237" s="83">
        <f t="shared" si="21"/>
        <v>20977177.558289785</v>
      </c>
      <c r="P237" s="86" t="str">
        <f t="shared" si="22"/>
        <v/>
      </c>
      <c r="Q237" s="67">
        <f t="shared" si="23"/>
        <v>5261.9531164268628</v>
      </c>
    </row>
    <row r="238" spans="1:17" ht="12.75" customHeight="1" x14ac:dyDescent="0.35">
      <c r="A238" s="87">
        <v>20</v>
      </c>
      <c r="B238" s="80" t="s">
        <v>115</v>
      </c>
      <c r="C238" s="81">
        <f>Premissas!$C$88+0.3333333333*(Premissas!$C$89-Premissas!$C$88)</f>
        <v>0.65433333333380006</v>
      </c>
      <c r="D238" s="82">
        <f>(1+Premissas!$C$26)^(19)</f>
        <v>4.3157010591197285</v>
      </c>
      <c r="E238" s="83">
        <f>Dimensionador!$C$22*(Premissas!$C$88+0.3333333333*(Premissas!$C$89-Premissas!$C$88))*Premissas!$C$21*(1+Premissas!$C$26)^(19)</f>
        <v>52398.46507586199</v>
      </c>
      <c r="F238" s="83">
        <f>Dimensionador!$C$7*Premissas!$C$13*(Premissas!$C$88+0.3333333333*(Premissas!$C$89-Premissas!$C$88))*Premissas!$C$20*(1+Premissas!$C$26)^(19)</f>
        <v>14189.681480066169</v>
      </c>
      <c r="G238" s="84">
        <f>Dimensionador!$C$7*Premissas!$C$25*(1+Premissas!$C$27)^(19)/12</f>
        <v>3214.7610973080173</v>
      </c>
      <c r="H238" s="85">
        <f>Premissas!$C$56*(1-Premissas!$C$32)^(19)</f>
        <v>50202.472319260349</v>
      </c>
      <c r="I238" s="85">
        <f>MIN(H238,Dimensionador!$C$7*Premissas!$C$13*(Premissas!$C$88+0.3333333333*(Premissas!$C$89-Premissas!$C$88)))</f>
        <v>5252.5878299279429</v>
      </c>
      <c r="J238" s="85">
        <f t="shared" si="18"/>
        <v>44949.884489332406</v>
      </c>
      <c r="K238" s="83">
        <f>Premissas!$C$35*(1+Premissas!$C$27)^(19)/12</f>
        <v>1735.2403650242138</v>
      </c>
      <c r="L238" s="83">
        <f>E238-F238+(I238+J238)*Premissas!$C$20*(1+Premissas!$C$26)^(19)</f>
        <v>173828.99877112501</v>
      </c>
      <c r="M238" s="83">
        <f t="shared" si="19"/>
        <v>168878.99730879278</v>
      </c>
      <c r="N238" s="83">
        <f t="shared" si="20"/>
        <v>18858556.555598583</v>
      </c>
      <c r="O238" s="83">
        <f t="shared" si="21"/>
        <v>21146056.555598579</v>
      </c>
      <c r="P238" s="86" t="str">
        <f t="shared" si="22"/>
        <v/>
      </c>
      <c r="Q238" s="67">
        <f t="shared" si="23"/>
        <v>5252.5878299279429</v>
      </c>
    </row>
    <row r="239" spans="1:17" ht="12.75" customHeight="1" x14ac:dyDescent="0.35">
      <c r="A239" s="87">
        <v>20</v>
      </c>
      <c r="B239" s="80" t="s">
        <v>116</v>
      </c>
      <c r="C239" s="81">
        <f>Premissas!$C$88+0.4166666667*(Premissas!$C$89-Premissas!$C$88)</f>
        <v>0.65316666666620005</v>
      </c>
      <c r="D239" s="82">
        <f>(1+Premissas!$C$26)^(19)</f>
        <v>4.3157010591197285</v>
      </c>
      <c r="E239" s="83">
        <f>Dimensionador!$C$22*(Premissas!$C$88+0.4166666667*(Premissas!$C$89-Premissas!$C$88))*Premissas!$C$21*(1+Premissas!$C$26)^(19)</f>
        <v>52305.039386655633</v>
      </c>
      <c r="F239" s="83">
        <f>Dimensionador!$C$7*Premissas!$C$13*(Premissas!$C$88+0.4166666667*(Premissas!$C$89-Premissas!$C$88))*Premissas!$C$20*(1+Premissas!$C$26)^(19)</f>
        <v>14164.381487595498</v>
      </c>
      <c r="G239" s="84">
        <f>Dimensionador!$C$7*Premissas!$C$25*(1+Premissas!$C$27)^(19)/12</f>
        <v>3214.7610973080173</v>
      </c>
      <c r="H239" s="85">
        <f>Premissas!$C$57*(1-Premissas!$C$32)^(19)</f>
        <v>48583.037728316463</v>
      </c>
      <c r="I239" s="85">
        <f>MIN(H239,Dimensionador!$C$7*Premissas!$C$13*(Premissas!$C$88+0.4166666667*(Premissas!$C$89-Premissas!$C$88)))</f>
        <v>5243.2225434177835</v>
      </c>
      <c r="J239" s="85">
        <f t="shared" si="18"/>
        <v>43339.815184898682</v>
      </c>
      <c r="K239" s="83">
        <f>Premissas!$C$35*(1+Premissas!$C$27)^(19)/12</f>
        <v>1735.2403650242138</v>
      </c>
      <c r="L239" s="83">
        <f>E239-F239+(I239+J239)*Premissas!$C$20*(1+Premissas!$C$26)^(19)</f>
        <v>169386.02742357226</v>
      </c>
      <c r="M239" s="83">
        <f t="shared" si="19"/>
        <v>164436.02596124003</v>
      </c>
      <c r="N239" s="83">
        <f t="shared" si="20"/>
        <v>19022992.581559822</v>
      </c>
      <c r="O239" s="83">
        <f t="shared" si="21"/>
        <v>21310492.581559818</v>
      </c>
      <c r="P239" s="86" t="str">
        <f t="shared" si="22"/>
        <v/>
      </c>
      <c r="Q239" s="67">
        <f t="shared" si="23"/>
        <v>5243.2225434177835</v>
      </c>
    </row>
    <row r="240" spans="1:17" ht="12.75" customHeight="1" x14ac:dyDescent="0.35">
      <c r="A240" s="87">
        <v>20</v>
      </c>
      <c r="B240" s="80" t="s">
        <v>117</v>
      </c>
      <c r="C240" s="81">
        <f>Premissas!$C$88+0.5*(Premissas!$C$89-Premissas!$C$88)</f>
        <v>0.65200000000000002</v>
      </c>
      <c r="D240" s="82">
        <f>(1+Premissas!$C$26)^(19)</f>
        <v>4.3157010591197285</v>
      </c>
      <c r="E240" s="83">
        <f>Dimensionador!$C$22*(Premissas!$C$88+0.5*(Premissas!$C$89-Premissas!$C$88))*Premissas!$C$21*(1+Premissas!$C$26)^(19)</f>
        <v>52211.61369756137</v>
      </c>
      <c r="F240" s="83">
        <f>Dimensionador!$C$7*Premissas!$C$13*(Premissas!$C$88+0.5*(Premissas!$C$89-Premissas!$C$88))*Premissas!$C$20*(1+Premissas!$C$26)^(19)</f>
        <v>14139.081495155186</v>
      </c>
      <c r="G240" s="84">
        <f>Dimensionador!$C$7*Premissas!$C$25*(1+Premissas!$C$27)^(19)/12</f>
        <v>3214.7610973080173</v>
      </c>
      <c r="H240" s="85">
        <f>Premissas!$C$58*(1-Premissas!$C$32)^(19)</f>
        <v>50202.472319260349</v>
      </c>
      <c r="I240" s="85">
        <f>MIN(H240,Dimensionador!$C$7*Premissas!$C$13*(Premissas!$C$88+0.5*(Premissas!$C$89-Premissas!$C$88)))</f>
        <v>5233.8572569188627</v>
      </c>
      <c r="J240" s="85">
        <f t="shared" si="18"/>
        <v>44968.615062341487</v>
      </c>
      <c r="K240" s="83">
        <f>Premissas!$C$35*(1+Premissas!$C$27)^(19)/12</f>
        <v>1735.2403650242138</v>
      </c>
      <c r="L240" s="83">
        <f>E240-F240+(I240+J240)*Premissas!$C$20*(1+Premissas!$C$26)^(19)</f>
        <v>173692.74737773536</v>
      </c>
      <c r="M240" s="83">
        <f t="shared" si="19"/>
        <v>168742.74591540312</v>
      </c>
      <c r="N240" s="83">
        <f t="shared" si="20"/>
        <v>19191735.327475224</v>
      </c>
      <c r="O240" s="83">
        <f t="shared" si="21"/>
        <v>21479235.32747522</v>
      </c>
      <c r="P240" s="86" t="str">
        <f t="shared" si="22"/>
        <v/>
      </c>
      <c r="Q240" s="67">
        <f t="shared" si="23"/>
        <v>5233.8572569188627</v>
      </c>
    </row>
    <row r="241" spans="1:17" ht="12.75" customHeight="1" x14ac:dyDescent="0.35">
      <c r="A241" s="87">
        <v>20</v>
      </c>
      <c r="B241" s="80" t="s">
        <v>118</v>
      </c>
      <c r="C241" s="81">
        <f>Premissas!$C$88+0.5833333333*(Premissas!$C$89-Premissas!$C$88)</f>
        <v>0.6508333333338</v>
      </c>
      <c r="D241" s="82">
        <f>(1+Premissas!$C$26)^(19)</f>
        <v>4.3157010591197285</v>
      </c>
      <c r="E241" s="83">
        <f>Dimensionador!$C$22*(Premissas!$C$88+0.5833333333*(Premissas!$C$89-Premissas!$C$88))*Premissas!$C$21*(1+Premissas!$C$26)^(19)</f>
        <v>52118.188008467114</v>
      </c>
      <c r="F241" s="83">
        <f>Dimensionador!$C$7*Premissas!$C$13*(Premissas!$C$88+0.5833333333*(Premissas!$C$89-Premissas!$C$88))*Premissas!$C$20*(1+Premissas!$C$26)^(19)</f>
        <v>14113.781502714874</v>
      </c>
      <c r="G241" s="84">
        <f>Dimensionador!$C$7*Premissas!$C$25*(1+Premissas!$C$27)^(19)/12</f>
        <v>3214.7610973080173</v>
      </c>
      <c r="H241" s="85">
        <f>Premissas!$C$59*(1-Premissas!$C$32)^(19)</f>
        <v>50202.472319260349</v>
      </c>
      <c r="I241" s="85">
        <f>MIN(H241,Dimensionador!$C$7*Premissas!$C$13*(Premissas!$C$88+0.5833333333*(Premissas!$C$89-Premissas!$C$88)))</f>
        <v>5224.4919704199419</v>
      </c>
      <c r="J241" s="85">
        <f t="shared" si="18"/>
        <v>44977.980348840407</v>
      </c>
      <c r="K241" s="83">
        <f>Premissas!$C$35*(1+Premissas!$C$27)^(19)/12</f>
        <v>1735.2403650242138</v>
      </c>
      <c r="L241" s="83">
        <f>E241-F241+(I241+J241)*Premissas!$C$20*(1+Premissas!$C$26)^(19)</f>
        <v>173624.62168108142</v>
      </c>
      <c r="M241" s="83">
        <f t="shared" si="19"/>
        <v>168674.62021874919</v>
      </c>
      <c r="N241" s="83">
        <f t="shared" si="20"/>
        <v>19360409.947693974</v>
      </c>
      <c r="O241" s="83">
        <f t="shared" si="21"/>
        <v>21647909.94769397</v>
      </c>
      <c r="P241" s="86" t="str">
        <f t="shared" si="22"/>
        <v/>
      </c>
      <c r="Q241" s="67">
        <f t="shared" si="23"/>
        <v>5224.4919704199419</v>
      </c>
    </row>
    <row r="242" spans="1:17" ht="12.75" customHeight="1" x14ac:dyDescent="0.35">
      <c r="A242" s="87">
        <v>20</v>
      </c>
      <c r="B242" s="80" t="s">
        <v>119</v>
      </c>
      <c r="C242" s="81">
        <f>Premissas!$C$88+0.6666666667*(Premissas!$C$89-Premissas!$C$88)</f>
        <v>0.64966666666619999</v>
      </c>
      <c r="D242" s="82">
        <f>(1+Premissas!$C$26)^(19)</f>
        <v>4.3157010591197285</v>
      </c>
      <c r="E242" s="83">
        <f>Dimensionador!$C$22*(Premissas!$C$88+0.6666666667*(Premissas!$C$89-Premissas!$C$88))*Premissas!$C$21*(1+Premissas!$C$26)^(19)</f>
        <v>52024.762319260743</v>
      </c>
      <c r="F242" s="83">
        <f>Dimensionador!$C$7*Premissas!$C$13*(Premissas!$C$88+0.6666666667*(Premissas!$C$89-Premissas!$C$88))*Premissas!$C$20*(1+Premissas!$C$26)^(19)</f>
        <v>14088.481510244204</v>
      </c>
      <c r="G242" s="84">
        <f>Dimensionador!$C$7*Premissas!$C$25*(1+Premissas!$C$27)^(19)/12</f>
        <v>3214.7610973080173</v>
      </c>
      <c r="H242" s="85">
        <f>Premissas!$C$60*(1-Premissas!$C$32)^(19)</f>
        <v>48583.037728316463</v>
      </c>
      <c r="I242" s="85">
        <f>MIN(H242,Dimensionador!$C$7*Premissas!$C$13*(Premissas!$C$88+0.6666666667*(Premissas!$C$89-Premissas!$C$88)))</f>
        <v>5215.1266839097834</v>
      </c>
      <c r="J242" s="85">
        <f t="shared" si="18"/>
        <v>43367.911044406683</v>
      </c>
      <c r="K242" s="83">
        <f>Premissas!$C$35*(1+Premissas!$C$27)^(19)/12</f>
        <v>1735.2403650242138</v>
      </c>
      <c r="L242" s="83">
        <f>E242-F242+(I242+J242)*Premissas!$C$20*(1+Premissas!$C$26)^(19)</f>
        <v>169181.65033352864</v>
      </c>
      <c r="M242" s="83">
        <f t="shared" si="19"/>
        <v>164231.6488711964</v>
      </c>
      <c r="N242" s="83">
        <f t="shared" si="20"/>
        <v>19524641.596565168</v>
      </c>
      <c r="O242" s="83">
        <f t="shared" si="21"/>
        <v>21812141.596565165</v>
      </c>
      <c r="P242" s="86" t="str">
        <f t="shared" si="22"/>
        <v/>
      </c>
      <c r="Q242" s="67">
        <f t="shared" si="23"/>
        <v>5215.1266839097834</v>
      </c>
    </row>
    <row r="243" spans="1:17" ht="12.75" customHeight="1" x14ac:dyDescent="0.35">
      <c r="A243" s="87">
        <v>20</v>
      </c>
      <c r="B243" s="80" t="s">
        <v>120</v>
      </c>
      <c r="C243" s="81">
        <f>Premissas!$C$88+0.75*(Premissas!$C$89-Premissas!$C$88)</f>
        <v>0.64850000000000008</v>
      </c>
      <c r="D243" s="82">
        <f>(1+Premissas!$C$26)^(19)</f>
        <v>4.3157010591197285</v>
      </c>
      <c r="E243" s="83">
        <f>Dimensionador!$C$22*(Premissas!$C$88+0.75*(Premissas!$C$89-Premissas!$C$88))*Premissas!$C$21*(1+Premissas!$C$26)^(19)</f>
        <v>51931.336630166486</v>
      </c>
      <c r="F243" s="83">
        <f>Dimensionador!$C$7*Premissas!$C$13*(Premissas!$C$88+0.75*(Premissas!$C$89-Premissas!$C$88))*Premissas!$C$20*(1+Premissas!$C$26)^(19)</f>
        <v>14063.181517803892</v>
      </c>
      <c r="G243" s="84">
        <f>Dimensionador!$C$7*Premissas!$C$25*(1+Premissas!$C$27)^(19)/12</f>
        <v>3214.7610973080173</v>
      </c>
      <c r="H243" s="85">
        <f>Premissas!$C$61*(1-Premissas!$C$32)^(19)</f>
        <v>50202.472319260349</v>
      </c>
      <c r="I243" s="85">
        <f>MIN(H243,Dimensionador!$C$7*Premissas!$C$13*(Premissas!$C$88+0.75*(Premissas!$C$89-Premissas!$C$88)))</f>
        <v>5205.7613974108635</v>
      </c>
      <c r="J243" s="85">
        <f t="shared" si="18"/>
        <v>44996.710921849488</v>
      </c>
      <c r="K243" s="83">
        <f>Premissas!$C$35*(1+Premissas!$C$27)^(19)/12</f>
        <v>1735.2403650242138</v>
      </c>
      <c r="L243" s="83">
        <f>E243-F243+(I243+J243)*Premissas!$C$20*(1+Premissas!$C$26)^(19)</f>
        <v>173488.37028769177</v>
      </c>
      <c r="M243" s="83">
        <f t="shared" si="19"/>
        <v>168538.36882535953</v>
      </c>
      <c r="N243" s="83">
        <f t="shared" si="20"/>
        <v>19693179.965390529</v>
      </c>
      <c r="O243" s="83">
        <f t="shared" si="21"/>
        <v>21980679.965390526</v>
      </c>
      <c r="P243" s="86" t="str">
        <f t="shared" si="22"/>
        <v/>
      </c>
      <c r="Q243" s="67">
        <f t="shared" si="23"/>
        <v>5205.7613974108635</v>
      </c>
    </row>
    <row r="244" spans="1:17" ht="12.75" customHeight="1" x14ac:dyDescent="0.35">
      <c r="A244" s="87">
        <v>20</v>
      </c>
      <c r="B244" s="80" t="s">
        <v>121</v>
      </c>
      <c r="C244" s="81">
        <f>Premissas!$C$88+0.8333333333*(Premissas!$C$89-Premissas!$C$88)</f>
        <v>0.64733333333380005</v>
      </c>
      <c r="D244" s="82">
        <f>(1+Premissas!$C$26)^(19)</f>
        <v>4.3157010591197285</v>
      </c>
      <c r="E244" s="83">
        <f>Dimensionador!$C$22*(Premissas!$C$88+0.8333333333*(Premissas!$C$89-Premissas!$C$88))*Premissas!$C$21*(1+Premissas!$C$26)^(19)</f>
        <v>51837.91094107223</v>
      </c>
      <c r="F244" s="83">
        <f>Dimensionador!$C$7*Premissas!$C$13*(Premissas!$C$88+0.8333333333*(Premissas!$C$89-Premissas!$C$88))*Premissas!$C$20*(1+Premissas!$C$26)^(19)</f>
        <v>14037.881525363582</v>
      </c>
      <c r="G244" s="84">
        <f>Dimensionador!$C$7*Premissas!$C$25*(1+Premissas!$C$27)^(19)/12</f>
        <v>3214.7610973080173</v>
      </c>
      <c r="H244" s="85">
        <f>Premissas!$C$62*(1-Premissas!$C$32)^(19)</f>
        <v>48583.037728316463</v>
      </c>
      <c r="I244" s="85">
        <f>MIN(H244,Dimensionador!$C$7*Premissas!$C$13*(Premissas!$C$88+0.8333333333*(Premissas!$C$89-Premissas!$C$88)))</f>
        <v>5196.3961109119427</v>
      </c>
      <c r="J244" s="85">
        <f t="shared" si="18"/>
        <v>43386.641617404523</v>
      </c>
      <c r="K244" s="83">
        <f>Premissas!$C$35*(1+Premissas!$C$27)^(19)/12</f>
        <v>1735.2403650242138</v>
      </c>
      <c r="L244" s="83">
        <f>E244-F244+(I244+J244)*Premissas!$C$20*(1+Premissas!$C$26)^(19)</f>
        <v>169045.39894022077</v>
      </c>
      <c r="M244" s="83">
        <f t="shared" si="19"/>
        <v>164095.39747788853</v>
      </c>
      <c r="N244" s="83">
        <f t="shared" si="20"/>
        <v>19857275.362868417</v>
      </c>
      <c r="O244" s="83">
        <f t="shared" si="21"/>
        <v>22144775.362868413</v>
      </c>
      <c r="P244" s="86" t="str">
        <f t="shared" si="22"/>
        <v/>
      </c>
      <c r="Q244" s="67">
        <f t="shared" si="23"/>
        <v>5196.3961109119427</v>
      </c>
    </row>
    <row r="245" spans="1:17" ht="12.75" customHeight="1" x14ac:dyDescent="0.35">
      <c r="A245" s="88">
        <v>20</v>
      </c>
      <c r="B245" s="89" t="s">
        <v>122</v>
      </c>
      <c r="C245" s="90">
        <f>Premissas!$C$88+0.9166666667*(Premissas!$C$89-Premissas!$C$88)</f>
        <v>0.64616666666620004</v>
      </c>
      <c r="D245" s="91">
        <f>(1+Premissas!$C$26)^(19)</f>
        <v>4.3157010591197285</v>
      </c>
      <c r="E245" s="92">
        <f>Dimensionador!$C$22*(Premissas!$C$88+0.9166666667*(Premissas!$C$89-Premissas!$C$88))*Premissas!$C$21*(1+Premissas!$C$26)^(19)</f>
        <v>51744.485251865866</v>
      </c>
      <c r="F245" s="92">
        <f>Dimensionador!$C$7*Premissas!$C$13*(Premissas!$C$88+0.9166666667*(Premissas!$C$89-Premissas!$C$88))*Premissas!$C$20*(1+Premissas!$C$26)^(19)</f>
        <v>14012.581532892909</v>
      </c>
      <c r="G245" s="93">
        <f>Dimensionador!$C$7*Premissas!$C$25*(1+Premissas!$C$27)^(19)/12</f>
        <v>3214.7610973080173</v>
      </c>
      <c r="H245" s="94">
        <f>Premissas!$C$63*(1-Premissas!$C$32)^(19)</f>
        <v>50202.472319260349</v>
      </c>
      <c r="I245" s="95">
        <f>MIN(H245,Dimensionador!$C$7*Premissas!$C$13*(Premissas!$C$88+0.9166666667*(Premissas!$C$89-Premissas!$C$88)))</f>
        <v>5187.0308244017833</v>
      </c>
      <c r="J245" s="94">
        <f t="shared" si="18"/>
        <v>45015.441494858562</v>
      </c>
      <c r="K245" s="96">
        <f>Premissas!$C$35*(1+Premissas!$C$27)^(19)/12</f>
        <v>1735.2403650242138</v>
      </c>
      <c r="L245" s="92">
        <f>E245-F245+(I245+J245)*Premissas!$C$20*(1+Premissas!$C$26)^(19)</f>
        <v>173352.11889430214</v>
      </c>
      <c r="M245" s="96">
        <f t="shared" si="19"/>
        <v>168402.11743196991</v>
      </c>
      <c r="N245" s="96">
        <f t="shared" si="20"/>
        <v>20025677.480300386</v>
      </c>
      <c r="O245" s="96">
        <f t="shared" si="21"/>
        <v>22313177.480300382</v>
      </c>
      <c r="P245" s="97" t="str">
        <f t="shared" si="22"/>
        <v/>
      </c>
      <c r="Q245" s="67">
        <f t="shared" si="23"/>
        <v>5187.0308244017833</v>
      </c>
    </row>
    <row r="246" spans="1:17" ht="19.5" customHeight="1" x14ac:dyDescent="0.35">
      <c r="A246" s="98" t="s">
        <v>123</v>
      </c>
      <c r="B246" s="98" t="s">
        <v>124</v>
      </c>
      <c r="C246" s="99"/>
      <c r="D246" s="99"/>
      <c r="E246" s="100">
        <f t="shared" ref="E246:M246" si="24">SUM(E6:E245)</f>
        <v>7785171.063849519</v>
      </c>
      <c r="F246" s="100">
        <f t="shared" si="24"/>
        <v>2108250.6425315402</v>
      </c>
      <c r="G246" s="100">
        <f t="shared" si="24"/>
        <v>591148.23875757051</v>
      </c>
      <c r="H246" s="100">
        <f t="shared" si="24"/>
        <v>12403618.486791143</v>
      </c>
      <c r="I246" s="100">
        <f t="shared" si="24"/>
        <v>1552942.4425856855</v>
      </c>
      <c r="J246" s="100">
        <f t="shared" si="24"/>
        <v>10850676.04420545</v>
      </c>
      <c r="K246" s="100">
        <f t="shared" si="24"/>
        <v>319085.69705664279</v>
      </c>
      <c r="L246" s="100">
        <f t="shared" si="24"/>
        <v>23223411.416114602</v>
      </c>
      <c r="M246" s="100">
        <f t="shared" si="24"/>
        <v>22313177.480300382</v>
      </c>
      <c r="N246" s="100">
        <f>N245</f>
        <v>20025677.480300386</v>
      </c>
      <c r="O246" s="100">
        <f>K245</f>
        <v>1735.2403650242138</v>
      </c>
      <c r="P246" s="99"/>
    </row>
    <row r="248" spans="1:17" ht="21.75" customHeight="1" x14ac:dyDescent="0.35">
      <c r="A248" s="11" t="s">
        <v>125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7" ht="19.5" customHeight="1" x14ac:dyDescent="0.35">
      <c r="A249" s="99"/>
      <c r="B249" s="101">
        <f t="shared" ref="B249:B254" si="25">C249</f>
        <v>4187197.99324077</v>
      </c>
      <c r="C249" s="10">
        <f>-(Dimensionador!$C$8+Premissas!$C$33)+Q6/(1+Premissas!$C$28)^1+Q7/(1+Premissas!$C$28)^2+Q8/(1+Premissas!$C$28)^3+Q9/(1+Premissas!$C$28)^4+Q10/(1+Premissas!$C$28)^5+Q11/(1+Premissas!$C$28)^6+Q12/(1+Premissas!$C$28)^7+Q13/(1+Premissas!$C$28)^8+Q14/(1+Premissas!$C$28)^9+Q15/(1+Premissas!$C$28)^10+Q16/(1+Premissas!$C$28)^11+Q17/(1+Premissas!$C$28)^12+Q18/(1+Premissas!$C$28)^13+Q19/(1+Premissas!$C$28)^14+Q20/(1+Premissas!$C$28)^15+Q21/(1+Premissas!$C$28)^16+Q22/(1+Premissas!$C$28)^17+Q23/(1+Premissas!$C$28)^18+Q24/(1+Premissas!$C$28)^19+Q25/(1+Premissas!$C$28)^20</f>
        <v>4187197.99324077</v>
      </c>
      <c r="D249" s="10"/>
      <c r="E249" s="10"/>
      <c r="F249" s="99"/>
      <c r="G249" s="99"/>
      <c r="L249" s="99"/>
      <c r="M249" s="99"/>
      <c r="N249" s="99"/>
      <c r="O249" s="99"/>
      <c r="P249" s="99"/>
    </row>
    <row r="250" spans="1:17" ht="19.5" customHeight="1" x14ac:dyDescent="0.35">
      <c r="A250" s="99"/>
      <c r="B250" s="102">
        <f t="shared" si="25"/>
        <v>0.29990854150704194</v>
      </c>
      <c r="C250" s="9">
        <f>IRR(Q5:Q25)</f>
        <v>0.29990854150704194</v>
      </c>
      <c r="D250" s="9"/>
      <c r="E250" s="9"/>
      <c r="F250" s="99"/>
      <c r="G250" s="99"/>
      <c r="L250" s="99"/>
      <c r="M250" s="99"/>
      <c r="N250" s="99"/>
      <c r="O250" s="99"/>
      <c r="P250" s="99"/>
    </row>
    <row r="251" spans="1:17" ht="19.5" customHeight="1" x14ac:dyDescent="0.35">
      <c r="A251" s="99"/>
      <c r="B251" s="103">
        <f t="shared" si="25"/>
        <v>46.465407368131693</v>
      </c>
      <c r="C251" s="8">
        <f>IFERROR(COUNTIF(N6:N245,"&lt;0")+ABS(INDEX(N6:N245,COUNTIF(N6:N245,"&lt;0")))/INDEX(M6:M245,COUNTIF(N6:N245,"&lt;0")+1),"N/A")</f>
        <v>46.465407368131693</v>
      </c>
      <c r="D251" s="8"/>
      <c r="E251" s="8"/>
      <c r="F251" s="99"/>
      <c r="G251" s="99"/>
      <c r="L251" s="99"/>
      <c r="M251" s="99"/>
      <c r="N251" s="99"/>
      <c r="O251" s="99"/>
      <c r="P251" s="99"/>
    </row>
    <row r="252" spans="1:17" ht="19.5" customHeight="1" x14ac:dyDescent="0.35">
      <c r="A252" s="99"/>
      <c r="B252" s="104">
        <f t="shared" si="25"/>
        <v>3.8721172806776409</v>
      </c>
      <c r="C252" s="7">
        <f>IFERROR(C251/12,"N/A")</f>
        <v>3.8721172806776409</v>
      </c>
      <c r="D252" s="7"/>
      <c r="E252" s="7"/>
      <c r="F252" s="99"/>
      <c r="G252" s="99"/>
      <c r="L252" s="99"/>
      <c r="M252" s="99"/>
      <c r="N252" s="99"/>
      <c r="O252" s="99"/>
      <c r="P252" s="99"/>
    </row>
    <row r="253" spans="1:17" ht="19.5" customHeight="1" x14ac:dyDescent="0.35">
      <c r="A253" s="99"/>
      <c r="B253" s="101">
        <f t="shared" si="25"/>
        <v>20025677.480300386</v>
      </c>
      <c r="C253" s="10">
        <f>N245</f>
        <v>20025677.480300386</v>
      </c>
      <c r="D253" s="10"/>
      <c r="E253" s="10"/>
      <c r="F253" s="99"/>
      <c r="G253" s="99"/>
      <c r="L253" s="99"/>
      <c r="M253" s="99"/>
      <c r="N253" s="99"/>
      <c r="O253" s="99"/>
      <c r="P253" s="99"/>
    </row>
    <row r="254" spans="1:17" ht="19.5" customHeight="1" x14ac:dyDescent="0.35">
      <c r="A254" s="99"/>
      <c r="B254" s="101">
        <f t="shared" si="25"/>
        <v>22313177.480300382</v>
      </c>
      <c r="C254" s="10">
        <f>SUM(M6:M245)</f>
        <v>22313177.480300382</v>
      </c>
      <c r="D254" s="10"/>
      <c r="E254" s="10"/>
      <c r="F254" s="99"/>
      <c r="G254" s="99"/>
      <c r="L254" s="99"/>
      <c r="M254" s="99"/>
      <c r="N254" s="99"/>
      <c r="O254" s="99"/>
      <c r="P254" s="99"/>
    </row>
  </sheetData>
  <mergeCells count="9">
    <mergeCell ref="C251:E251"/>
    <mergeCell ref="C252:E252"/>
    <mergeCell ref="C253:E253"/>
    <mergeCell ref="C254:E254"/>
    <mergeCell ref="A1:L1"/>
    <mergeCell ref="A2:L2"/>
    <mergeCell ref="A248:L248"/>
    <mergeCell ref="C249:E249"/>
    <mergeCell ref="C250:E25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9"/>
  <sheetViews>
    <sheetView showGridLines="0" topLeftCell="A32" zoomScaleNormal="100" workbookViewId="0">
      <selection activeCell="C26" sqref="C26"/>
    </sheetView>
  </sheetViews>
  <sheetFormatPr defaultColWidth="8.6328125" defaultRowHeight="14.5" x14ac:dyDescent="0.35"/>
  <cols>
    <col min="1" max="1" width="3" customWidth="1"/>
    <col min="2" max="2" width="35" customWidth="1"/>
    <col min="3" max="3" width="18" customWidth="1"/>
    <col min="4" max="4" width="14" customWidth="1"/>
  </cols>
  <sheetData>
    <row r="1" spans="1:10" ht="24" customHeight="1" x14ac:dyDescent="0.35">
      <c r="A1" s="13" t="s">
        <v>126</v>
      </c>
      <c r="B1" s="13"/>
      <c r="C1" s="13"/>
      <c r="D1" s="13"/>
    </row>
    <row r="2" spans="1:10" ht="24" customHeight="1" x14ac:dyDescent="0.35">
      <c r="A2" s="12" t="s">
        <v>127</v>
      </c>
      <c r="B2" s="12"/>
      <c r="C2" s="12"/>
      <c r="D2" s="12"/>
    </row>
    <row r="4" spans="1:10" ht="18" customHeight="1" x14ac:dyDescent="0.35">
      <c r="A4" s="45"/>
      <c r="B4" s="44" t="s">
        <v>128</v>
      </c>
      <c r="C4" s="105" t="s">
        <v>129</v>
      </c>
      <c r="D4" s="105" t="s">
        <v>130</v>
      </c>
    </row>
    <row r="5" spans="1:10" ht="15.75" customHeight="1" x14ac:dyDescent="0.35">
      <c r="A5" s="14"/>
      <c r="B5" s="14" t="s">
        <v>131</v>
      </c>
      <c r="C5" s="106">
        <v>241</v>
      </c>
      <c r="D5" s="16" t="s">
        <v>16</v>
      </c>
    </row>
    <row r="6" spans="1:10" ht="15.75" customHeight="1" x14ac:dyDescent="0.35">
      <c r="A6" s="14"/>
      <c r="B6" s="14" t="s">
        <v>17</v>
      </c>
      <c r="C6" s="107">
        <v>1</v>
      </c>
      <c r="D6" s="16" t="s">
        <v>18</v>
      </c>
    </row>
    <row r="7" spans="1:10" ht="15.75" customHeight="1" x14ac:dyDescent="0.35">
      <c r="A7" s="14"/>
      <c r="B7" s="14" t="s">
        <v>19</v>
      </c>
      <c r="C7" s="107">
        <v>0.9556</v>
      </c>
      <c r="D7" s="16" t="s">
        <v>18</v>
      </c>
    </row>
    <row r="8" spans="1:10" ht="15.75" customHeight="1" x14ac:dyDescent="0.35">
      <c r="A8" s="14"/>
      <c r="B8" s="14" t="s">
        <v>20</v>
      </c>
      <c r="C8" s="107">
        <v>0.98</v>
      </c>
      <c r="D8" s="16" t="s">
        <v>18</v>
      </c>
    </row>
    <row r="9" spans="1:10" ht="15.75" customHeight="1" x14ac:dyDescent="0.35">
      <c r="A9" s="14"/>
      <c r="B9" s="14" t="s">
        <v>21</v>
      </c>
      <c r="C9" s="107">
        <v>0.99</v>
      </c>
      <c r="D9" s="16" t="s">
        <v>18</v>
      </c>
    </row>
    <row r="10" spans="1:10" ht="15.75" customHeight="1" x14ac:dyDescent="0.35">
      <c r="A10" s="14"/>
      <c r="B10" s="14" t="s">
        <v>22</v>
      </c>
      <c r="C10" s="106">
        <v>21</v>
      </c>
      <c r="D10" s="16" t="s">
        <v>23</v>
      </c>
    </row>
    <row r="11" spans="1:10" ht="15.75" customHeight="1" x14ac:dyDescent="0.35">
      <c r="A11" s="14"/>
      <c r="B11" s="18" t="s">
        <v>132</v>
      </c>
      <c r="C11" s="108">
        <f>C5*C6*C7*C8*C9</f>
        <v>223.43667191999998</v>
      </c>
      <c r="D11" s="18" t="s">
        <v>133</v>
      </c>
    </row>
    <row r="12" spans="1:10" ht="15.75" customHeight="1" x14ac:dyDescent="0.35">
      <c r="A12" s="14"/>
      <c r="B12" s="18" t="s">
        <v>134</v>
      </c>
      <c r="C12" s="108">
        <f>C11*C10*J12</f>
        <v>3450.0000811147079</v>
      </c>
      <c r="D12" s="18" t="s">
        <v>133</v>
      </c>
      <c r="G12">
        <v>4692.17</v>
      </c>
      <c r="H12">
        <f>Dimensionador!C5/2</f>
        <v>3450</v>
      </c>
      <c r="J12">
        <f>H12/G12</f>
        <v>0.7352674775210617</v>
      </c>
    </row>
    <row r="13" spans="1:10" ht="15.75" customHeight="1" x14ac:dyDescent="0.35">
      <c r="A13" s="14"/>
      <c r="B13" s="18" t="s">
        <v>135</v>
      </c>
      <c r="C13" s="108">
        <f>(C5*C10*C6)/(C7*C8*C9)*J12</f>
        <v>4013.6942154285757</v>
      </c>
      <c r="D13" s="18" t="s">
        <v>133</v>
      </c>
      <c r="G13">
        <f>C13*2</f>
        <v>8027.3884308571514</v>
      </c>
    </row>
    <row r="15" spans="1:10" ht="18" customHeight="1" x14ac:dyDescent="0.35">
      <c r="A15" s="45"/>
      <c r="B15" s="44" t="s">
        <v>136</v>
      </c>
      <c r="C15" s="105" t="s">
        <v>129</v>
      </c>
      <c r="D15" s="105" t="s">
        <v>130</v>
      </c>
    </row>
    <row r="16" spans="1:10" ht="15.75" customHeight="1" x14ac:dyDescent="0.35">
      <c r="A16" s="14"/>
      <c r="B16" s="14" t="s">
        <v>137</v>
      </c>
      <c r="C16" s="109">
        <v>0.62596200000000002</v>
      </c>
      <c r="D16" s="16" t="s">
        <v>138</v>
      </c>
    </row>
    <row r="17" spans="1:5" ht="15.75" customHeight="1" x14ac:dyDescent="0.35">
      <c r="A17" s="14"/>
      <c r="B17" s="14" t="s">
        <v>139</v>
      </c>
      <c r="C17" s="109">
        <v>0</v>
      </c>
      <c r="D17" s="16" t="s">
        <v>138</v>
      </c>
    </row>
    <row r="18" spans="1:5" ht="15.75" customHeight="1" x14ac:dyDescent="0.35">
      <c r="A18" s="14"/>
      <c r="B18" s="14" t="s">
        <v>140</v>
      </c>
      <c r="C18" s="109">
        <v>2.6891750000000001</v>
      </c>
      <c r="D18" s="16" t="s">
        <v>138</v>
      </c>
    </row>
    <row r="19" spans="1:5" ht="15.75" customHeight="1" x14ac:dyDescent="0.35">
      <c r="A19" s="14"/>
      <c r="B19" s="14" t="s">
        <v>141</v>
      </c>
      <c r="C19" s="109">
        <v>0</v>
      </c>
      <c r="D19" s="16" t="s">
        <v>138</v>
      </c>
    </row>
    <row r="20" spans="1:5" ht="15.75" customHeight="1" x14ac:dyDescent="0.35">
      <c r="A20" s="14"/>
      <c r="B20" s="18" t="s">
        <v>142</v>
      </c>
      <c r="C20" s="110">
        <f>C16+C17</f>
        <v>0.62596200000000002</v>
      </c>
      <c r="D20" s="18" t="s">
        <v>138</v>
      </c>
    </row>
    <row r="21" spans="1:5" ht="15.75" customHeight="1" x14ac:dyDescent="0.35">
      <c r="A21" s="14"/>
      <c r="B21" s="18" t="s">
        <v>143</v>
      </c>
      <c r="C21" s="110">
        <f>C18+C19</f>
        <v>2.6891750000000001</v>
      </c>
      <c r="D21" s="18" t="s">
        <v>138</v>
      </c>
    </row>
    <row r="22" spans="1:5" ht="15.75" customHeight="1" x14ac:dyDescent="0.35">
      <c r="A22" s="14"/>
      <c r="B22" s="18" t="s">
        <v>144</v>
      </c>
      <c r="C22" s="110">
        <f>C21-C20</f>
        <v>2.0632130000000002</v>
      </c>
      <c r="D22" s="18" t="s">
        <v>138</v>
      </c>
    </row>
    <row r="24" spans="1:5" ht="18" customHeight="1" x14ac:dyDescent="0.35">
      <c r="A24" s="45"/>
      <c r="B24" s="44" t="s">
        <v>145</v>
      </c>
      <c r="C24" s="105" t="s">
        <v>129</v>
      </c>
      <c r="D24" s="105" t="s">
        <v>130</v>
      </c>
    </row>
    <row r="25" spans="1:5" ht="15.75" customHeight="1" x14ac:dyDescent="0.35">
      <c r="A25" s="14"/>
      <c r="B25" s="14" t="s">
        <v>146</v>
      </c>
      <c r="C25" s="26">
        <f>Dimensionador!C8*1%</f>
        <v>11000</v>
      </c>
      <c r="D25" s="16" t="s">
        <v>147</v>
      </c>
    </row>
    <row r="26" spans="1:5" ht="15.75" customHeight="1" x14ac:dyDescent="0.35">
      <c r="A26" s="14"/>
      <c r="B26" s="14" t="s">
        <v>148</v>
      </c>
      <c r="C26" s="111">
        <v>0.08</v>
      </c>
      <c r="D26" s="16" t="s">
        <v>149</v>
      </c>
    </row>
    <row r="27" spans="1:5" ht="15.75" customHeight="1" x14ac:dyDescent="0.35">
      <c r="A27" s="14"/>
      <c r="B27" s="14" t="s">
        <v>150</v>
      </c>
      <c r="C27" s="111">
        <v>0.03</v>
      </c>
      <c r="D27" s="16" t="s">
        <v>149</v>
      </c>
    </row>
    <row r="28" spans="1:5" ht="15.75" customHeight="1" x14ac:dyDescent="0.35">
      <c r="A28" s="14"/>
      <c r="B28" s="14" t="s">
        <v>151</v>
      </c>
      <c r="C28" s="111">
        <v>0.12</v>
      </c>
      <c r="D28" s="16" t="s">
        <v>149</v>
      </c>
    </row>
    <row r="29" spans="1:5" ht="19.5" customHeight="1" x14ac:dyDescent="0.35">
      <c r="A29" s="4" t="s">
        <v>152</v>
      </c>
      <c r="B29" s="4"/>
      <c r="C29" s="4"/>
      <c r="D29" s="4"/>
    </row>
    <row r="30" spans="1:5" ht="18" customHeight="1" x14ac:dyDescent="0.35">
      <c r="A30" s="14"/>
      <c r="B30" s="14" t="s">
        <v>153</v>
      </c>
      <c r="C30" s="112">
        <v>475</v>
      </c>
      <c r="D30" s="16" t="s">
        <v>154</v>
      </c>
      <c r="E30" s="17" t="s">
        <v>155</v>
      </c>
    </row>
    <row r="31" spans="1:5" ht="18" customHeight="1" x14ac:dyDescent="0.35">
      <c r="A31" s="14"/>
      <c r="B31" s="14" t="s">
        <v>53</v>
      </c>
      <c r="C31" s="111">
        <v>0.75</v>
      </c>
      <c r="D31" s="16" t="s">
        <v>18</v>
      </c>
      <c r="E31" s="17" t="s">
        <v>156</v>
      </c>
    </row>
    <row r="32" spans="1:5" ht="18" customHeight="1" x14ac:dyDescent="0.35">
      <c r="A32" s="14"/>
      <c r="B32" s="14" t="s">
        <v>157</v>
      </c>
      <c r="C32" s="111">
        <v>5.0000000000000001E-3</v>
      </c>
      <c r="D32" s="16" t="s">
        <v>149</v>
      </c>
      <c r="E32" s="17" t="s">
        <v>158</v>
      </c>
    </row>
    <row r="33" spans="1:5" ht="18" customHeight="1" x14ac:dyDescent="0.35">
      <c r="A33" s="14"/>
      <c r="B33" s="14" t="s">
        <v>54</v>
      </c>
      <c r="C33" s="26">
        <v>1187500</v>
      </c>
      <c r="D33" s="16" t="s">
        <v>12</v>
      </c>
      <c r="E33" s="17" t="s">
        <v>159</v>
      </c>
    </row>
    <row r="34" spans="1:5" ht="18" customHeight="1" x14ac:dyDescent="0.35">
      <c r="A34" s="14"/>
      <c r="B34" s="14" t="s">
        <v>160</v>
      </c>
      <c r="C34" s="111">
        <v>0.01</v>
      </c>
      <c r="D34" s="16" t="s">
        <v>149</v>
      </c>
      <c r="E34" s="17" t="s">
        <v>161</v>
      </c>
    </row>
    <row r="35" spans="1:5" ht="18" customHeight="1" x14ac:dyDescent="0.35">
      <c r="A35" s="18"/>
      <c r="B35" s="18" t="s">
        <v>162</v>
      </c>
      <c r="C35" s="34">
        <f>C33*C34</f>
        <v>11875</v>
      </c>
      <c r="D35" s="18"/>
      <c r="E35" s="17" t="s">
        <v>56</v>
      </c>
    </row>
    <row r="36" spans="1:5" ht="18" customHeight="1" x14ac:dyDescent="0.35">
      <c r="A36" s="18"/>
      <c r="B36" s="18" t="s">
        <v>163</v>
      </c>
      <c r="C36" s="113">
        <f>C30*C31</f>
        <v>356.25</v>
      </c>
      <c r="D36" s="18"/>
      <c r="E36" s="17" t="s">
        <v>164</v>
      </c>
    </row>
    <row r="37" spans="1:5" ht="19.5" customHeight="1" x14ac:dyDescent="0.35">
      <c r="A37" s="3" t="s">
        <v>165</v>
      </c>
      <c r="B37" s="3"/>
      <c r="C37" s="3"/>
      <c r="D37" s="3"/>
    </row>
    <row r="38" spans="1:5" ht="15.75" customHeight="1" x14ac:dyDescent="0.35">
      <c r="A38" s="114"/>
      <c r="B38" s="114" t="s">
        <v>166</v>
      </c>
      <c r="C38" s="115">
        <v>5</v>
      </c>
      <c r="D38" s="114" t="s">
        <v>167</v>
      </c>
      <c r="E38" s="17" t="s">
        <v>168</v>
      </c>
    </row>
    <row r="39" spans="1:5" ht="15.75" customHeight="1" x14ac:dyDescent="0.35">
      <c r="A39" s="114"/>
      <c r="B39" s="114" t="s">
        <v>169</v>
      </c>
      <c r="C39" s="115">
        <v>5</v>
      </c>
      <c r="D39" s="114" t="s">
        <v>167</v>
      </c>
      <c r="E39" s="17" t="s">
        <v>170</v>
      </c>
    </row>
    <row r="40" spans="1:5" ht="15.75" customHeight="1" x14ac:dyDescent="0.35">
      <c r="A40" s="114"/>
      <c r="B40" s="114" t="s">
        <v>171</v>
      </c>
      <c r="C40" s="115">
        <v>5</v>
      </c>
      <c r="D40" s="114" t="s">
        <v>167</v>
      </c>
      <c r="E40" s="17" t="s">
        <v>172</v>
      </c>
    </row>
    <row r="41" spans="1:5" ht="15.75" customHeight="1" x14ac:dyDescent="0.35">
      <c r="A41" s="114"/>
      <c r="B41" s="114" t="s">
        <v>173</v>
      </c>
      <c r="C41" s="115">
        <v>5</v>
      </c>
      <c r="D41" s="114" t="s">
        <v>167</v>
      </c>
      <c r="E41" s="17" t="s">
        <v>174</v>
      </c>
    </row>
    <row r="42" spans="1:5" ht="15.75" customHeight="1" x14ac:dyDescent="0.35">
      <c r="A42" s="114"/>
      <c r="B42" s="114" t="s">
        <v>175</v>
      </c>
      <c r="C42" s="115">
        <v>5</v>
      </c>
      <c r="D42" s="114" t="s">
        <v>167</v>
      </c>
      <c r="E42" s="17" t="s">
        <v>176</v>
      </c>
    </row>
    <row r="43" spans="1:5" ht="15.75" customHeight="1" x14ac:dyDescent="0.35">
      <c r="A43" s="114"/>
      <c r="B43" s="114" t="s">
        <v>177</v>
      </c>
      <c r="C43" s="115">
        <v>5</v>
      </c>
      <c r="D43" s="114" t="s">
        <v>167</v>
      </c>
      <c r="E43" s="17" t="s">
        <v>178</v>
      </c>
    </row>
    <row r="44" spans="1:5" ht="15.75" customHeight="1" x14ac:dyDescent="0.35">
      <c r="A44" s="114"/>
      <c r="B44" s="114" t="s">
        <v>179</v>
      </c>
      <c r="C44" s="115">
        <v>5</v>
      </c>
      <c r="D44" s="114" t="s">
        <v>167</v>
      </c>
      <c r="E44" s="17" t="s">
        <v>180</v>
      </c>
    </row>
    <row r="45" spans="1:5" ht="15.75" customHeight="1" x14ac:dyDescent="0.35">
      <c r="A45" s="114"/>
      <c r="B45" s="114" t="s">
        <v>181</v>
      </c>
      <c r="C45" s="115">
        <v>5</v>
      </c>
      <c r="D45" s="114" t="s">
        <v>167</v>
      </c>
      <c r="E45" s="17" t="s">
        <v>182</v>
      </c>
    </row>
    <row r="46" spans="1:5" ht="15.75" customHeight="1" x14ac:dyDescent="0.35">
      <c r="A46" s="114"/>
      <c r="B46" s="114" t="s">
        <v>183</v>
      </c>
      <c r="C46" s="115">
        <v>5</v>
      </c>
      <c r="D46" s="114" t="s">
        <v>167</v>
      </c>
      <c r="E46" s="17" t="s">
        <v>184</v>
      </c>
    </row>
    <row r="47" spans="1:5" ht="15.75" customHeight="1" x14ac:dyDescent="0.35">
      <c r="A47" s="114"/>
      <c r="B47" s="114" t="s">
        <v>185</v>
      </c>
      <c r="C47" s="115">
        <v>5</v>
      </c>
      <c r="D47" s="114" t="s">
        <v>167</v>
      </c>
      <c r="E47" s="17" t="s">
        <v>186</v>
      </c>
    </row>
    <row r="48" spans="1:5" ht="15.75" customHeight="1" x14ac:dyDescent="0.35">
      <c r="A48" s="114"/>
      <c r="B48" s="114" t="s">
        <v>187</v>
      </c>
      <c r="C48" s="115">
        <v>5</v>
      </c>
      <c r="D48" s="114" t="s">
        <v>167</v>
      </c>
      <c r="E48" s="17" t="s">
        <v>188</v>
      </c>
    </row>
    <row r="49" spans="1:5" ht="15.75" customHeight="1" x14ac:dyDescent="0.35">
      <c r="A49" s="114"/>
      <c r="B49" s="114" t="s">
        <v>189</v>
      </c>
      <c r="C49" s="115">
        <v>5</v>
      </c>
      <c r="D49" s="114" t="s">
        <v>167</v>
      </c>
      <c r="E49" s="17" t="s">
        <v>190</v>
      </c>
    </row>
    <row r="50" spans="1:5" ht="18" customHeight="1" x14ac:dyDescent="0.35">
      <c r="A50" s="18"/>
      <c r="B50" s="18" t="s">
        <v>191</v>
      </c>
      <c r="C50" s="116">
        <f>AVERAGE(C38:C49)</f>
        <v>5</v>
      </c>
      <c r="D50" s="18" t="s">
        <v>167</v>
      </c>
    </row>
    <row r="51" spans="1:5" ht="19.5" customHeight="1" x14ac:dyDescent="0.35">
      <c r="A51" s="2" t="s">
        <v>192</v>
      </c>
      <c r="B51" s="2"/>
      <c r="C51" s="2"/>
      <c r="D51" s="2"/>
    </row>
    <row r="52" spans="1:5" ht="15.75" customHeight="1" x14ac:dyDescent="0.35">
      <c r="A52" s="18"/>
      <c r="B52" s="18" t="s">
        <v>166</v>
      </c>
      <c r="C52" s="117">
        <f>C30*C38*C31*31</f>
        <v>55218.75</v>
      </c>
      <c r="D52" s="18" t="s">
        <v>4</v>
      </c>
    </row>
    <row r="53" spans="1:5" ht="15.75" customHeight="1" x14ac:dyDescent="0.35">
      <c r="A53" s="18"/>
      <c r="B53" s="18" t="s">
        <v>169</v>
      </c>
      <c r="C53" s="117">
        <f>C30*C39*C31*28</f>
        <v>49875</v>
      </c>
      <c r="D53" s="18" t="s">
        <v>4</v>
      </c>
    </row>
    <row r="54" spans="1:5" ht="15.75" customHeight="1" x14ac:dyDescent="0.35">
      <c r="A54" s="18"/>
      <c r="B54" s="18" t="s">
        <v>171</v>
      </c>
      <c r="C54" s="117">
        <f>C30*C40*C31*31</f>
        <v>55218.75</v>
      </c>
      <c r="D54" s="18" t="s">
        <v>4</v>
      </c>
    </row>
    <row r="55" spans="1:5" ht="15.75" customHeight="1" x14ac:dyDescent="0.35">
      <c r="A55" s="18"/>
      <c r="B55" s="18" t="s">
        <v>173</v>
      </c>
      <c r="C55" s="117">
        <f>C30*C41*C31*30</f>
        <v>53437.5</v>
      </c>
      <c r="D55" s="18" t="s">
        <v>4</v>
      </c>
    </row>
    <row r="56" spans="1:5" ht="15.75" customHeight="1" x14ac:dyDescent="0.35">
      <c r="A56" s="18"/>
      <c r="B56" s="18" t="s">
        <v>175</v>
      </c>
      <c r="C56" s="117">
        <f>C30*C42*C31*31</f>
        <v>55218.75</v>
      </c>
      <c r="D56" s="18" t="s">
        <v>4</v>
      </c>
    </row>
    <row r="57" spans="1:5" ht="15.75" customHeight="1" x14ac:dyDescent="0.35">
      <c r="A57" s="18"/>
      <c r="B57" s="18" t="s">
        <v>177</v>
      </c>
      <c r="C57" s="117">
        <f>C30*C43*C31*30</f>
        <v>53437.5</v>
      </c>
      <c r="D57" s="18" t="s">
        <v>4</v>
      </c>
    </row>
    <row r="58" spans="1:5" ht="15.75" customHeight="1" x14ac:dyDescent="0.35">
      <c r="A58" s="18"/>
      <c r="B58" s="18" t="s">
        <v>179</v>
      </c>
      <c r="C58" s="117">
        <f>C30*C44*C31*31</f>
        <v>55218.75</v>
      </c>
      <c r="D58" s="18" t="s">
        <v>4</v>
      </c>
    </row>
    <row r="59" spans="1:5" ht="15.75" customHeight="1" x14ac:dyDescent="0.35">
      <c r="A59" s="18"/>
      <c r="B59" s="18" t="s">
        <v>181</v>
      </c>
      <c r="C59" s="117">
        <f>C30*C45*C31*31</f>
        <v>55218.75</v>
      </c>
      <c r="D59" s="18" t="s">
        <v>4</v>
      </c>
    </row>
    <row r="60" spans="1:5" ht="15.75" customHeight="1" x14ac:dyDescent="0.35">
      <c r="A60" s="18"/>
      <c r="B60" s="18" t="s">
        <v>183</v>
      </c>
      <c r="C60" s="117">
        <f>C30*C46*C31*30</f>
        <v>53437.5</v>
      </c>
      <c r="D60" s="18" t="s">
        <v>4</v>
      </c>
    </row>
    <row r="61" spans="1:5" ht="15.75" customHeight="1" x14ac:dyDescent="0.35">
      <c r="A61" s="18"/>
      <c r="B61" s="18" t="s">
        <v>185</v>
      </c>
      <c r="C61" s="117">
        <f>C30*C47*C31*31</f>
        <v>55218.75</v>
      </c>
      <c r="D61" s="18" t="s">
        <v>4</v>
      </c>
    </row>
    <row r="62" spans="1:5" ht="15.75" customHeight="1" x14ac:dyDescent="0.35">
      <c r="A62" s="18"/>
      <c r="B62" s="18" t="s">
        <v>187</v>
      </c>
      <c r="C62" s="117">
        <f>C30*C48*C31*30</f>
        <v>53437.5</v>
      </c>
      <c r="D62" s="18" t="s">
        <v>4</v>
      </c>
    </row>
    <row r="63" spans="1:5" ht="15.75" customHeight="1" x14ac:dyDescent="0.35">
      <c r="A63" s="18"/>
      <c r="B63" s="18" t="s">
        <v>189</v>
      </c>
      <c r="C63" s="117">
        <f>C30*C49*C31*31</f>
        <v>55218.75</v>
      </c>
      <c r="D63" s="18" t="s">
        <v>4</v>
      </c>
    </row>
    <row r="64" spans="1:5" ht="18" customHeight="1" x14ac:dyDescent="0.35">
      <c r="A64" s="18"/>
      <c r="B64" s="18" t="s">
        <v>193</v>
      </c>
      <c r="C64" s="118">
        <f>SUM(C52:C63)</f>
        <v>650156.25</v>
      </c>
      <c r="D64" s="18" t="s">
        <v>194</v>
      </c>
    </row>
    <row r="65" spans="1:4" ht="18" customHeight="1" x14ac:dyDescent="0.35">
      <c r="A65" s="18"/>
      <c r="B65" s="18" t="s">
        <v>195</v>
      </c>
      <c r="C65" s="39">
        <f>C64/12</f>
        <v>54179.6875</v>
      </c>
      <c r="D65" s="18" t="s">
        <v>4</v>
      </c>
    </row>
    <row r="68" spans="1:4" ht="14.25" customHeight="1" x14ac:dyDescent="0.35">
      <c r="A68" s="45"/>
      <c r="B68" s="44" t="s">
        <v>196</v>
      </c>
      <c r="C68" s="105" t="s">
        <v>197</v>
      </c>
      <c r="D68" s="105" t="s">
        <v>92</v>
      </c>
    </row>
    <row r="69" spans="1:4" ht="14.25" customHeight="1" x14ac:dyDescent="0.35">
      <c r="A69" s="14"/>
      <c r="B69" s="14" t="s">
        <v>198</v>
      </c>
      <c r="C69" s="119">
        <v>1</v>
      </c>
      <c r="D69" s="120" t="s">
        <v>108</v>
      </c>
    </row>
    <row r="70" spans="1:4" ht="14.25" customHeight="1" x14ac:dyDescent="0.35">
      <c r="A70" s="14"/>
      <c r="B70" s="14" t="s">
        <v>199</v>
      </c>
      <c r="C70" s="119">
        <v>0.97099999999999997</v>
      </c>
      <c r="D70" s="120" t="s">
        <v>200</v>
      </c>
    </row>
    <row r="71" spans="1:4" ht="14.25" customHeight="1" x14ac:dyDescent="0.35">
      <c r="A71" s="14"/>
      <c r="B71" s="14" t="s">
        <v>201</v>
      </c>
      <c r="C71" s="119">
        <v>0.94799999999999995</v>
      </c>
      <c r="D71" s="120" t="s">
        <v>202</v>
      </c>
    </row>
    <row r="72" spans="1:4" ht="14.25" customHeight="1" x14ac:dyDescent="0.35">
      <c r="A72" s="14"/>
      <c r="B72" s="14" t="s">
        <v>203</v>
      </c>
      <c r="C72" s="119">
        <v>0.92700000000000005</v>
      </c>
      <c r="D72" s="120" t="s">
        <v>204</v>
      </c>
    </row>
    <row r="73" spans="1:4" ht="14.25" customHeight="1" x14ac:dyDescent="0.35">
      <c r="A73" s="14"/>
      <c r="B73" s="14" t="s">
        <v>205</v>
      </c>
      <c r="C73" s="119">
        <v>0.90700000000000003</v>
      </c>
      <c r="D73" s="120" t="s">
        <v>206</v>
      </c>
    </row>
    <row r="74" spans="1:4" ht="14.25" customHeight="1" x14ac:dyDescent="0.35">
      <c r="A74" s="14"/>
      <c r="B74" s="14" t="s">
        <v>207</v>
      </c>
      <c r="C74" s="119">
        <v>0.88800000000000001</v>
      </c>
      <c r="D74" s="120" t="s">
        <v>208</v>
      </c>
    </row>
    <row r="75" spans="1:4" ht="14.25" customHeight="1" x14ac:dyDescent="0.35">
      <c r="A75" s="14"/>
      <c r="B75" s="14" t="s">
        <v>209</v>
      </c>
      <c r="C75" s="119">
        <v>0.87</v>
      </c>
      <c r="D75" s="120" t="s">
        <v>210</v>
      </c>
    </row>
    <row r="76" spans="1:4" ht="14.25" customHeight="1" x14ac:dyDescent="0.35">
      <c r="A76" s="14"/>
      <c r="B76" s="14" t="s">
        <v>211</v>
      </c>
      <c r="C76" s="119">
        <v>0.85199999999999998</v>
      </c>
      <c r="D76" s="120" t="s">
        <v>212</v>
      </c>
    </row>
    <row r="77" spans="1:4" ht="14.25" customHeight="1" x14ac:dyDescent="0.35">
      <c r="A77" s="14"/>
      <c r="B77" s="14" t="s">
        <v>213</v>
      </c>
      <c r="C77" s="119">
        <v>0.83399999999999996</v>
      </c>
      <c r="D77" s="120" t="s">
        <v>214</v>
      </c>
    </row>
    <row r="78" spans="1:4" ht="14.25" customHeight="1" x14ac:dyDescent="0.35">
      <c r="A78" s="14"/>
      <c r="B78" s="14" t="s">
        <v>215</v>
      </c>
      <c r="C78" s="119">
        <v>0.81699999999999995</v>
      </c>
      <c r="D78" s="120" t="s">
        <v>216</v>
      </c>
    </row>
    <row r="79" spans="1:4" ht="14.25" customHeight="1" x14ac:dyDescent="0.35">
      <c r="A79" s="14"/>
      <c r="B79" s="14" t="s">
        <v>217</v>
      </c>
      <c r="C79" s="119">
        <v>0.79900000000000004</v>
      </c>
      <c r="D79" s="120" t="s">
        <v>218</v>
      </c>
    </row>
    <row r="80" spans="1:4" ht="14.25" customHeight="1" x14ac:dyDescent="0.35">
      <c r="A80" s="14"/>
      <c r="B80" s="14" t="s">
        <v>219</v>
      </c>
      <c r="C80" s="119">
        <v>0.78300000000000003</v>
      </c>
      <c r="D80" s="120" t="s">
        <v>220</v>
      </c>
    </row>
    <row r="81" spans="1:4" ht="14.25" customHeight="1" x14ac:dyDescent="0.35">
      <c r="A81" s="14"/>
      <c r="B81" s="14" t="s">
        <v>221</v>
      </c>
      <c r="C81" s="119">
        <v>0.76300000000000001</v>
      </c>
      <c r="D81" s="120" t="s">
        <v>222</v>
      </c>
    </row>
    <row r="82" spans="1:4" ht="14.25" customHeight="1" x14ac:dyDescent="0.35">
      <c r="A82" s="14"/>
      <c r="B82" s="14" t="s">
        <v>223</v>
      </c>
      <c r="C82" s="119">
        <v>0.75</v>
      </c>
      <c r="D82" s="120" t="s">
        <v>224</v>
      </c>
    </row>
    <row r="83" spans="1:4" ht="14.25" customHeight="1" x14ac:dyDescent="0.35">
      <c r="A83" s="14"/>
      <c r="B83" s="14" t="s">
        <v>225</v>
      </c>
      <c r="C83" s="119">
        <v>0.73399999999999999</v>
      </c>
      <c r="D83" s="120" t="s">
        <v>226</v>
      </c>
    </row>
    <row r="84" spans="1:4" ht="14.25" customHeight="1" x14ac:dyDescent="0.35">
      <c r="A84" s="14"/>
      <c r="B84" s="14" t="s">
        <v>227</v>
      </c>
      <c r="C84" s="119">
        <v>0.71799999999999997</v>
      </c>
      <c r="D84" s="120" t="s">
        <v>228</v>
      </c>
    </row>
    <row r="85" spans="1:4" ht="14.25" customHeight="1" x14ac:dyDescent="0.35">
      <c r="A85" s="14"/>
      <c r="B85" s="14" t="s">
        <v>229</v>
      </c>
      <c r="C85" s="119">
        <v>0.70299999999999996</v>
      </c>
      <c r="D85" s="120" t="s">
        <v>230</v>
      </c>
    </row>
    <row r="86" spans="1:4" ht="14.25" customHeight="1" x14ac:dyDescent="0.35">
      <c r="A86" s="14"/>
      <c r="B86" s="14" t="s">
        <v>231</v>
      </c>
      <c r="C86" s="119">
        <v>0.68799999999999994</v>
      </c>
      <c r="D86" s="120" t="s">
        <v>232</v>
      </c>
    </row>
    <row r="87" spans="1:4" ht="14.25" customHeight="1" x14ac:dyDescent="0.35">
      <c r="A87" s="14"/>
      <c r="B87" s="14" t="s">
        <v>233</v>
      </c>
      <c r="C87" s="119">
        <v>0.67300000000000004</v>
      </c>
      <c r="D87" s="120" t="s">
        <v>234</v>
      </c>
    </row>
    <row r="88" spans="1:4" ht="14.25" customHeight="1" x14ac:dyDescent="0.35">
      <c r="A88" s="14"/>
      <c r="B88" s="14" t="s">
        <v>235</v>
      </c>
      <c r="C88" s="119">
        <v>0.65900000000000003</v>
      </c>
      <c r="D88" s="120" t="s">
        <v>236</v>
      </c>
    </row>
    <row r="89" spans="1:4" ht="14.25" customHeight="1" x14ac:dyDescent="0.35">
      <c r="A89" s="14"/>
      <c r="B89" s="14" t="s">
        <v>237</v>
      </c>
      <c r="C89" s="119">
        <v>0.64500000000000002</v>
      </c>
      <c r="D89" s="120" t="s">
        <v>238</v>
      </c>
    </row>
  </sheetData>
  <mergeCells count="5">
    <mergeCell ref="A1:D1"/>
    <mergeCell ref="A2:D2"/>
    <mergeCell ref="A29:D29"/>
    <mergeCell ref="A37:D37"/>
    <mergeCell ref="A51:D5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Dimensionador</vt:lpstr>
      <vt:lpstr>Fluxo 20 Anos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Azevedo</cp:lastModifiedBy>
  <cp:revision>0</cp:revision>
  <cp:lastPrinted>2026-08-05T17:00:19Z</cp:lastPrinted>
  <dcterms:created xsi:type="dcterms:W3CDTF">2026-06-15T18:37:53Z</dcterms:created>
  <dcterms:modified xsi:type="dcterms:W3CDTF">2026-08-07T10:44:14Z</dcterms:modified>
  <dc:language>en-US</dc:language>
</cp:coreProperties>
</file>