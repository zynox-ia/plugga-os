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ranc\OneDrive\Área de Trabalho\Pen drive JAN 2026\Documentos HDT - Huawei\Dimensionamento Bess\"/>
    </mc:Choice>
  </mc:AlternateContent>
  <xr:revisionPtr revIDLastSave="0" documentId="13_ncr:1_{09D0DDFC-98EB-460D-99AA-33F1E23A6DA9}" xr6:coauthVersionLast="47" xr6:coauthVersionMax="47" xr10:uidLastSave="{00000000-0000-0000-0000-000000000000}"/>
  <bookViews>
    <workbookView xWindow="-110" yWindow="-110" windowWidth="19420" windowHeight="10300" tabRatio="500" activeTab="2" xr2:uid="{00000000-000D-0000-FFFF-FFFF00000000}"/>
  </bookViews>
  <sheets>
    <sheet name="Dimensionador" sheetId="1" r:id="rId1"/>
    <sheet name="Fluxo 20 Anos" sheetId="2" r:id="rId2"/>
    <sheet name="Premissas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3" i="3" l="1"/>
  <c r="C12" i="3"/>
  <c r="C22" i="1" s="1"/>
  <c r="C242" i="2"/>
  <c r="C241" i="2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31" i="3"/>
  <c r="G6" i="3"/>
  <c r="F6" i="3"/>
  <c r="C19" i="1"/>
  <c r="C21" i="3"/>
  <c r="C22" i="3" s="1"/>
  <c r="C34" i="1" s="1"/>
  <c r="C20" i="3"/>
  <c r="C11" i="3"/>
  <c r="C35" i="1"/>
  <c r="C33" i="1"/>
  <c r="C32" i="1"/>
  <c r="C23" i="1"/>
  <c r="F238" i="2" s="1"/>
  <c r="C17" i="1"/>
  <c r="C16" i="1"/>
  <c r="C15" i="1"/>
  <c r="C14" i="1"/>
  <c r="C13" i="1"/>
  <c r="C12" i="1"/>
  <c r="C11" i="1"/>
  <c r="C25" i="3"/>
  <c r="G229" i="2" s="1"/>
  <c r="D245" i="2"/>
  <c r="C245" i="2"/>
  <c r="D244" i="2"/>
  <c r="D243" i="2"/>
  <c r="D242" i="2"/>
  <c r="D241" i="2"/>
  <c r="D240" i="2"/>
  <c r="C240" i="2"/>
  <c r="D239" i="2"/>
  <c r="D238" i="2"/>
  <c r="C238" i="2"/>
  <c r="D237" i="2"/>
  <c r="C237" i="2"/>
  <c r="D236" i="2"/>
  <c r="C236" i="2"/>
  <c r="D235" i="2"/>
  <c r="C235" i="2"/>
  <c r="D234" i="2"/>
  <c r="C234" i="2"/>
  <c r="D233" i="2"/>
  <c r="C233" i="2"/>
  <c r="D232" i="2"/>
  <c r="C232" i="2"/>
  <c r="D231" i="2"/>
  <c r="C231" i="2"/>
  <c r="D230" i="2"/>
  <c r="C230" i="2"/>
  <c r="D229" i="2"/>
  <c r="C229" i="2"/>
  <c r="D228" i="2"/>
  <c r="C228" i="2"/>
  <c r="D227" i="2"/>
  <c r="C227" i="2"/>
  <c r="D226" i="2"/>
  <c r="C226" i="2"/>
  <c r="D225" i="2"/>
  <c r="C225" i="2"/>
  <c r="D224" i="2"/>
  <c r="C224" i="2"/>
  <c r="D223" i="2"/>
  <c r="C223" i="2"/>
  <c r="D222" i="2"/>
  <c r="C222" i="2"/>
  <c r="D221" i="2"/>
  <c r="C221" i="2"/>
  <c r="D220" i="2"/>
  <c r="D219" i="2"/>
  <c r="C219" i="2"/>
  <c r="D218" i="2"/>
  <c r="C218" i="2"/>
  <c r="D217" i="2"/>
  <c r="C217" i="2"/>
  <c r="D216" i="2"/>
  <c r="C216" i="2"/>
  <c r="D215" i="2"/>
  <c r="C215" i="2"/>
  <c r="D214" i="2"/>
  <c r="C214" i="2"/>
  <c r="D213" i="2"/>
  <c r="C213" i="2"/>
  <c r="D212" i="2"/>
  <c r="C212" i="2"/>
  <c r="D211" i="2"/>
  <c r="C211" i="2"/>
  <c r="D210" i="2"/>
  <c r="C210" i="2"/>
  <c r="D209" i="2"/>
  <c r="C209" i="2"/>
  <c r="D208" i="2"/>
  <c r="C208" i="2"/>
  <c r="D207" i="2"/>
  <c r="C207" i="2"/>
  <c r="D206" i="2"/>
  <c r="C206" i="2"/>
  <c r="G205" i="2"/>
  <c r="D205" i="2"/>
  <c r="C205" i="2"/>
  <c r="D204" i="2"/>
  <c r="C204" i="2"/>
  <c r="D203" i="2"/>
  <c r="C203" i="2"/>
  <c r="D202" i="2"/>
  <c r="C202" i="2"/>
  <c r="G201" i="2"/>
  <c r="D201" i="2"/>
  <c r="C201" i="2"/>
  <c r="D200" i="2"/>
  <c r="C200" i="2"/>
  <c r="D199" i="2"/>
  <c r="C199" i="2"/>
  <c r="D198" i="2"/>
  <c r="C198" i="2"/>
  <c r="D197" i="2"/>
  <c r="C197" i="2"/>
  <c r="D196" i="2"/>
  <c r="C196" i="2"/>
  <c r="D195" i="2"/>
  <c r="C195" i="2"/>
  <c r="D194" i="2"/>
  <c r="C194" i="2"/>
  <c r="D193" i="2"/>
  <c r="C193" i="2"/>
  <c r="D192" i="2"/>
  <c r="C192" i="2"/>
  <c r="D191" i="2"/>
  <c r="C191" i="2"/>
  <c r="D190" i="2"/>
  <c r="C190" i="2"/>
  <c r="D189" i="2"/>
  <c r="C189" i="2"/>
  <c r="D188" i="2"/>
  <c r="C188" i="2"/>
  <c r="D187" i="2"/>
  <c r="C187" i="2"/>
  <c r="D186" i="2"/>
  <c r="C186" i="2"/>
  <c r="D185" i="2"/>
  <c r="C185" i="2"/>
  <c r="D184" i="2"/>
  <c r="C184" i="2"/>
  <c r="D183" i="2"/>
  <c r="C183" i="2"/>
  <c r="D182" i="2"/>
  <c r="C182" i="2"/>
  <c r="G181" i="2"/>
  <c r="D181" i="2"/>
  <c r="C181" i="2"/>
  <c r="D180" i="2"/>
  <c r="C180" i="2"/>
  <c r="D179" i="2"/>
  <c r="C179" i="2"/>
  <c r="D178" i="2"/>
  <c r="C178" i="2"/>
  <c r="D177" i="2"/>
  <c r="C177" i="2"/>
  <c r="D176" i="2"/>
  <c r="C176" i="2"/>
  <c r="D175" i="2"/>
  <c r="C175" i="2"/>
  <c r="D174" i="2"/>
  <c r="C174" i="2"/>
  <c r="D173" i="2"/>
  <c r="C173" i="2"/>
  <c r="D172" i="2"/>
  <c r="C172" i="2"/>
  <c r="D171" i="2"/>
  <c r="C171" i="2"/>
  <c r="D170" i="2"/>
  <c r="C170" i="2"/>
  <c r="D169" i="2"/>
  <c r="C169" i="2"/>
  <c r="D168" i="2"/>
  <c r="C168" i="2"/>
  <c r="D167" i="2"/>
  <c r="C167" i="2"/>
  <c r="D166" i="2"/>
  <c r="C166" i="2"/>
  <c r="D165" i="2"/>
  <c r="C165" i="2"/>
  <c r="D164" i="2"/>
  <c r="C164" i="2"/>
  <c r="D163" i="2"/>
  <c r="C163" i="2"/>
  <c r="D162" i="2"/>
  <c r="C162" i="2"/>
  <c r="D161" i="2"/>
  <c r="C161" i="2"/>
  <c r="D160" i="2"/>
  <c r="C160" i="2"/>
  <c r="D159" i="2"/>
  <c r="C159" i="2"/>
  <c r="G158" i="2"/>
  <c r="D158" i="2"/>
  <c r="C158" i="2"/>
  <c r="G157" i="2"/>
  <c r="D157" i="2"/>
  <c r="C157" i="2"/>
  <c r="D156" i="2"/>
  <c r="C156" i="2"/>
  <c r="D155" i="2"/>
  <c r="C155" i="2"/>
  <c r="D154" i="2"/>
  <c r="C154" i="2"/>
  <c r="G153" i="2"/>
  <c r="D153" i="2"/>
  <c r="C153" i="2"/>
  <c r="D152" i="2"/>
  <c r="C152" i="2"/>
  <c r="D151" i="2"/>
  <c r="C151" i="2"/>
  <c r="G150" i="2"/>
  <c r="D150" i="2"/>
  <c r="C150" i="2"/>
  <c r="D149" i="2"/>
  <c r="C149" i="2"/>
  <c r="D148" i="2"/>
  <c r="C148" i="2"/>
  <c r="D147" i="2"/>
  <c r="C147" i="2"/>
  <c r="G146" i="2"/>
  <c r="D146" i="2"/>
  <c r="C146" i="2"/>
  <c r="D145" i="2"/>
  <c r="C145" i="2"/>
  <c r="D144" i="2"/>
  <c r="C144" i="2"/>
  <c r="D143" i="2"/>
  <c r="C143" i="2"/>
  <c r="D142" i="2"/>
  <c r="C142" i="2"/>
  <c r="D141" i="2"/>
  <c r="C141" i="2"/>
  <c r="D140" i="2"/>
  <c r="C140" i="2"/>
  <c r="D139" i="2"/>
  <c r="C139" i="2"/>
  <c r="D138" i="2"/>
  <c r="C138" i="2"/>
  <c r="D137" i="2"/>
  <c r="C137" i="2"/>
  <c r="D136" i="2"/>
  <c r="C136" i="2"/>
  <c r="D135" i="2"/>
  <c r="C135" i="2"/>
  <c r="D134" i="2"/>
  <c r="C134" i="2"/>
  <c r="G133" i="2"/>
  <c r="D133" i="2"/>
  <c r="C133" i="2"/>
  <c r="D132" i="2"/>
  <c r="C132" i="2"/>
  <c r="D131" i="2"/>
  <c r="C131" i="2"/>
  <c r="D130" i="2"/>
  <c r="C130" i="2"/>
  <c r="G129" i="2"/>
  <c r="D129" i="2"/>
  <c r="C129" i="2"/>
  <c r="D128" i="2"/>
  <c r="C128" i="2"/>
  <c r="D127" i="2"/>
  <c r="C127" i="2"/>
  <c r="G126" i="2"/>
  <c r="D126" i="2"/>
  <c r="C126" i="2"/>
  <c r="D125" i="2"/>
  <c r="C125" i="2"/>
  <c r="D124" i="2"/>
  <c r="C124" i="2"/>
  <c r="D123" i="2"/>
  <c r="C123" i="2"/>
  <c r="D122" i="2"/>
  <c r="C122" i="2"/>
  <c r="D121" i="2"/>
  <c r="C121" i="2"/>
  <c r="D120" i="2"/>
  <c r="C120" i="2"/>
  <c r="D119" i="2"/>
  <c r="C119" i="2"/>
  <c r="D118" i="2"/>
  <c r="C118" i="2"/>
  <c r="G117" i="2"/>
  <c r="D117" i="2"/>
  <c r="C117" i="2"/>
  <c r="D116" i="2"/>
  <c r="C116" i="2"/>
  <c r="D115" i="2"/>
  <c r="C115" i="2"/>
  <c r="G114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G108" i="2"/>
  <c r="D108" i="2"/>
  <c r="C108" i="2"/>
  <c r="D107" i="2"/>
  <c r="C107" i="2"/>
  <c r="D106" i="2"/>
  <c r="C106" i="2"/>
  <c r="G105" i="2"/>
  <c r="D105" i="2"/>
  <c r="C105" i="2"/>
  <c r="D104" i="2"/>
  <c r="C104" i="2"/>
  <c r="D103" i="2"/>
  <c r="C103" i="2"/>
  <c r="G102" i="2"/>
  <c r="D102" i="2"/>
  <c r="C102" i="2"/>
  <c r="D101" i="2"/>
  <c r="C101" i="2"/>
  <c r="D100" i="2"/>
  <c r="C100" i="2"/>
  <c r="G99" i="2"/>
  <c r="D99" i="2"/>
  <c r="C99" i="2"/>
  <c r="D98" i="2"/>
  <c r="C98" i="2"/>
  <c r="D97" i="2"/>
  <c r="C97" i="2"/>
  <c r="G96" i="2"/>
  <c r="D96" i="2"/>
  <c r="C96" i="2"/>
  <c r="D95" i="2"/>
  <c r="C95" i="2"/>
  <c r="D94" i="2"/>
  <c r="C94" i="2"/>
  <c r="G93" i="2"/>
  <c r="D93" i="2"/>
  <c r="C93" i="2"/>
  <c r="D92" i="2"/>
  <c r="C92" i="2"/>
  <c r="D91" i="2"/>
  <c r="C91" i="2"/>
  <c r="D90" i="2"/>
  <c r="C90" i="2"/>
  <c r="G89" i="2"/>
  <c r="D89" i="2"/>
  <c r="C89" i="2"/>
  <c r="G88" i="2"/>
  <c r="D88" i="2"/>
  <c r="C88" i="2"/>
  <c r="D87" i="2"/>
  <c r="C87" i="2"/>
  <c r="G86" i="2"/>
  <c r="D86" i="2"/>
  <c r="C86" i="2"/>
  <c r="G85" i="2"/>
  <c r="D85" i="2"/>
  <c r="C85" i="2"/>
  <c r="D84" i="2"/>
  <c r="C84" i="2"/>
  <c r="G83" i="2"/>
  <c r="D83" i="2"/>
  <c r="C83" i="2"/>
  <c r="G82" i="2"/>
  <c r="D82" i="2"/>
  <c r="C82" i="2"/>
  <c r="D81" i="2"/>
  <c r="C81" i="2"/>
  <c r="D80" i="2"/>
  <c r="C80" i="2"/>
  <c r="G79" i="2"/>
  <c r="D79" i="2"/>
  <c r="C79" i="2"/>
  <c r="D78" i="2"/>
  <c r="C78" i="2"/>
  <c r="D77" i="2"/>
  <c r="C77" i="2"/>
  <c r="G76" i="2"/>
  <c r="D76" i="2"/>
  <c r="C76" i="2"/>
  <c r="D75" i="2"/>
  <c r="C75" i="2"/>
  <c r="D74" i="2"/>
  <c r="C74" i="2"/>
  <c r="G73" i="2"/>
  <c r="D73" i="2"/>
  <c r="C73" i="2"/>
  <c r="D72" i="2"/>
  <c r="C72" i="2"/>
  <c r="D71" i="2"/>
  <c r="C71" i="2"/>
  <c r="D70" i="2"/>
  <c r="C70" i="2"/>
  <c r="D69" i="2"/>
  <c r="C69" i="2"/>
  <c r="G68" i="2"/>
  <c r="D68" i="2"/>
  <c r="C68" i="2"/>
  <c r="D67" i="2"/>
  <c r="C67" i="2"/>
  <c r="D66" i="2"/>
  <c r="C66" i="2"/>
  <c r="G65" i="2"/>
  <c r="D65" i="2"/>
  <c r="C65" i="2"/>
  <c r="D64" i="2"/>
  <c r="C64" i="2"/>
  <c r="D63" i="2"/>
  <c r="C63" i="2"/>
  <c r="D62" i="2"/>
  <c r="C62" i="2"/>
  <c r="G61" i="2"/>
  <c r="F61" i="2"/>
  <c r="D61" i="2"/>
  <c r="C61" i="2"/>
  <c r="G60" i="2"/>
  <c r="D60" i="2"/>
  <c r="C60" i="2"/>
  <c r="D59" i="2"/>
  <c r="C59" i="2"/>
  <c r="D58" i="2"/>
  <c r="C58" i="2"/>
  <c r="G57" i="2"/>
  <c r="D57" i="2"/>
  <c r="C57" i="2"/>
  <c r="D56" i="2"/>
  <c r="C56" i="2"/>
  <c r="D55" i="2"/>
  <c r="C55" i="2"/>
  <c r="G54" i="2"/>
  <c r="D54" i="2"/>
  <c r="C54" i="2"/>
  <c r="D53" i="2"/>
  <c r="C53" i="2"/>
  <c r="D52" i="2"/>
  <c r="C52" i="2"/>
  <c r="G51" i="2"/>
  <c r="D51" i="2"/>
  <c r="C51" i="2"/>
  <c r="D50" i="2"/>
  <c r="C50" i="2"/>
  <c r="D49" i="2"/>
  <c r="C49" i="2"/>
  <c r="G48" i="2"/>
  <c r="D48" i="2"/>
  <c r="C48" i="2"/>
  <c r="D47" i="2"/>
  <c r="C47" i="2"/>
  <c r="D46" i="2"/>
  <c r="C46" i="2"/>
  <c r="G45" i="2"/>
  <c r="D45" i="2"/>
  <c r="C45" i="2"/>
  <c r="G44" i="2"/>
  <c r="D44" i="2"/>
  <c r="C44" i="2"/>
  <c r="G43" i="2"/>
  <c r="D43" i="2"/>
  <c r="C43" i="2"/>
  <c r="D42" i="2"/>
  <c r="C42" i="2"/>
  <c r="D41" i="2"/>
  <c r="C41" i="2"/>
  <c r="G40" i="2"/>
  <c r="D40" i="2"/>
  <c r="C40" i="2"/>
  <c r="D39" i="2"/>
  <c r="C39" i="2"/>
  <c r="D38" i="2"/>
  <c r="C38" i="2"/>
  <c r="G37" i="2"/>
  <c r="D37" i="2"/>
  <c r="C37" i="2"/>
  <c r="D36" i="2"/>
  <c r="C36" i="2"/>
  <c r="D35" i="2"/>
  <c r="C35" i="2"/>
  <c r="G34" i="2"/>
  <c r="D34" i="2"/>
  <c r="C34" i="2"/>
  <c r="D33" i="2"/>
  <c r="C33" i="2"/>
  <c r="D32" i="2"/>
  <c r="C32" i="2"/>
  <c r="D31" i="2"/>
  <c r="C31" i="2"/>
  <c r="G30" i="2"/>
  <c r="D30" i="2"/>
  <c r="C30" i="2"/>
  <c r="G29" i="2"/>
  <c r="D29" i="2"/>
  <c r="C29" i="2"/>
  <c r="D28" i="2"/>
  <c r="C28" i="2"/>
  <c r="D27" i="2"/>
  <c r="C27" i="2"/>
  <c r="G26" i="2"/>
  <c r="E26" i="2"/>
  <c r="D26" i="2"/>
  <c r="C26" i="2"/>
  <c r="F25" i="2"/>
  <c r="D25" i="2"/>
  <c r="C25" i="2"/>
  <c r="D24" i="2"/>
  <c r="C24" i="2"/>
  <c r="G23" i="2"/>
  <c r="D23" i="2"/>
  <c r="C23" i="2"/>
  <c r="D22" i="2"/>
  <c r="C22" i="2"/>
  <c r="D21" i="2"/>
  <c r="C21" i="2"/>
  <c r="G20" i="2"/>
  <c r="D20" i="2"/>
  <c r="C20" i="2"/>
  <c r="G19" i="2"/>
  <c r="D19" i="2"/>
  <c r="C19" i="2"/>
  <c r="G18" i="2"/>
  <c r="D18" i="2"/>
  <c r="C18" i="2"/>
  <c r="D17" i="2"/>
  <c r="C17" i="2"/>
  <c r="D16" i="2"/>
  <c r="C16" i="2"/>
  <c r="G15" i="2"/>
  <c r="D15" i="2"/>
  <c r="C15" i="2"/>
  <c r="D14" i="2"/>
  <c r="C14" i="2"/>
  <c r="D13" i="2"/>
  <c r="C13" i="2"/>
  <c r="G12" i="2"/>
  <c r="D12" i="2"/>
  <c r="C12" i="2"/>
  <c r="D11" i="2"/>
  <c r="C11" i="2"/>
  <c r="D10" i="2"/>
  <c r="C10" i="2"/>
  <c r="G9" i="2"/>
  <c r="D9" i="2"/>
  <c r="C9" i="2"/>
  <c r="D8" i="2"/>
  <c r="C8" i="2"/>
  <c r="G7" i="2"/>
  <c r="E7" i="2"/>
  <c r="D7" i="2"/>
  <c r="C7" i="2"/>
  <c r="D6" i="2"/>
  <c r="C6" i="2"/>
  <c r="N5" i="2"/>
  <c r="M5" i="2"/>
  <c r="K5" i="2"/>
  <c r="J5" i="2"/>
  <c r="I5" i="2"/>
  <c r="F143" i="2" l="1"/>
  <c r="F52" i="2"/>
  <c r="F139" i="2"/>
  <c r="F30" i="2"/>
  <c r="F9" i="2"/>
  <c r="F71" i="2"/>
  <c r="F44" i="2"/>
  <c r="F94" i="2"/>
  <c r="F119" i="2"/>
  <c r="H119" i="2" s="1"/>
  <c r="F6" i="2"/>
  <c r="H6" i="2" s="1"/>
  <c r="F63" i="2"/>
  <c r="H63" i="2" s="1"/>
  <c r="F118" i="2"/>
  <c r="F154" i="2"/>
  <c r="F18" i="2"/>
  <c r="F45" i="2"/>
  <c r="F68" i="2"/>
  <c r="F82" i="2"/>
  <c r="F80" i="2"/>
  <c r="F32" i="2"/>
  <c r="F95" i="2"/>
  <c r="F42" i="2"/>
  <c r="H42" i="2" s="1"/>
  <c r="F64" i="2"/>
  <c r="H64" i="2" s="1"/>
  <c r="F131" i="2"/>
  <c r="H131" i="2" s="1"/>
  <c r="F157" i="2"/>
  <c r="F70" i="2"/>
  <c r="F21" i="2"/>
  <c r="F13" i="2"/>
  <c r="F8" i="2"/>
  <c r="F123" i="2"/>
  <c r="F20" i="2"/>
  <c r="F51" i="2"/>
  <c r="F33" i="2"/>
  <c r="F83" i="2"/>
  <c r="F92" i="2"/>
  <c r="H92" i="2" s="1"/>
  <c r="I92" i="2" s="1"/>
  <c r="M92" i="2" s="1"/>
  <c r="E6" i="2"/>
  <c r="E202" i="2"/>
  <c r="E190" i="2"/>
  <c r="E185" i="2"/>
  <c r="E152" i="2"/>
  <c r="E141" i="2"/>
  <c r="E130" i="2"/>
  <c r="E123" i="2"/>
  <c r="H123" i="2" s="1"/>
  <c r="E116" i="2"/>
  <c r="E105" i="2"/>
  <c r="E88" i="2"/>
  <c r="E82" i="2"/>
  <c r="H82" i="2" s="1"/>
  <c r="I82" i="2" s="1"/>
  <c r="M82" i="2" s="1"/>
  <c r="E75" i="2"/>
  <c r="E65" i="2"/>
  <c r="E55" i="2"/>
  <c r="E39" i="2"/>
  <c r="E13" i="2"/>
  <c r="E221" i="2"/>
  <c r="E198" i="2"/>
  <c r="E194" i="2"/>
  <c r="E167" i="2"/>
  <c r="E155" i="2"/>
  <c r="E148" i="2"/>
  <c r="E137" i="2"/>
  <c r="E119" i="2"/>
  <c r="E112" i="2"/>
  <c r="E101" i="2"/>
  <c r="E91" i="2"/>
  <c r="E45" i="2"/>
  <c r="H45" i="2" s="1"/>
  <c r="I45" i="2" s="1"/>
  <c r="M45" i="2" s="1"/>
  <c r="E35" i="2"/>
  <c r="E32" i="2"/>
  <c r="E29" i="2"/>
  <c r="E22" i="2"/>
  <c r="E16" i="2"/>
  <c r="E36" i="2"/>
  <c r="E17" i="2"/>
  <c r="H17" i="2" s="1"/>
  <c r="I17" i="2" s="1"/>
  <c r="M17" i="2" s="1"/>
  <c r="E10" i="2"/>
  <c r="E145" i="2"/>
  <c r="E98" i="2"/>
  <c r="E85" i="2"/>
  <c r="E79" i="2"/>
  <c r="E59" i="2"/>
  <c r="E52" i="2"/>
  <c r="E180" i="2"/>
  <c r="E171" i="2"/>
  <c r="E158" i="2"/>
  <c r="E144" i="2"/>
  <c r="E133" i="2"/>
  <c r="E126" i="2"/>
  <c r="E108" i="2"/>
  <c r="E97" i="2"/>
  <c r="E94" i="2"/>
  <c r="E84" i="2"/>
  <c r="E78" i="2"/>
  <c r="E71" i="2"/>
  <c r="E68" i="2"/>
  <c r="E58" i="2"/>
  <c r="E48" i="2"/>
  <c r="E42" i="2"/>
  <c r="E19" i="2"/>
  <c r="E205" i="2"/>
  <c r="E197" i="2"/>
  <c r="E193" i="2"/>
  <c r="E161" i="2"/>
  <c r="E147" i="2"/>
  <c r="E129" i="2"/>
  <c r="E100" i="2"/>
  <c r="E90" i="2"/>
  <c r="E61" i="2"/>
  <c r="H61" i="2" s="1"/>
  <c r="I61" i="2" s="1"/>
  <c r="M61" i="2" s="1"/>
  <c r="E54" i="2"/>
  <c r="E229" i="2"/>
  <c r="E183" i="2"/>
  <c r="E154" i="2"/>
  <c r="E132" i="2"/>
  <c r="E67" i="2"/>
  <c r="E41" i="2"/>
  <c r="E34" i="2"/>
  <c r="E15" i="2"/>
  <c r="E143" i="2"/>
  <c r="E121" i="2"/>
  <c r="E103" i="2"/>
  <c r="E93" i="2"/>
  <c r="E44" i="2"/>
  <c r="E24" i="2"/>
  <c r="H24" i="2" s="1"/>
  <c r="I24" i="2" s="1"/>
  <c r="M24" i="2" s="1"/>
  <c r="E196" i="2"/>
  <c r="E178" i="2"/>
  <c r="E157" i="2"/>
  <c r="E139" i="2"/>
  <c r="E128" i="2"/>
  <c r="E114" i="2"/>
  <c r="E83" i="2"/>
  <c r="E80" i="2"/>
  <c r="H80" i="2" s="1"/>
  <c r="I80" i="2" s="1"/>
  <c r="M80" i="2" s="1"/>
  <c r="E73" i="2"/>
  <c r="E50" i="2"/>
  <c r="E18" i="2"/>
  <c r="H18" i="2" s="1"/>
  <c r="I18" i="2" s="1"/>
  <c r="E8" i="2"/>
  <c r="H8" i="2" s="1"/>
  <c r="I8" i="2" s="1"/>
  <c r="M8" i="2" s="1"/>
  <c r="E146" i="2"/>
  <c r="E106" i="2"/>
  <c r="E89" i="2"/>
  <c r="E63" i="2"/>
  <c r="E14" i="2"/>
  <c r="E164" i="2"/>
  <c r="E153" i="2"/>
  <c r="E142" i="2"/>
  <c r="E120" i="2"/>
  <c r="E76" i="2"/>
  <c r="E40" i="2"/>
  <c r="E33" i="2"/>
  <c r="H33" i="2" s="1"/>
  <c r="I33" i="2" s="1"/>
  <c r="M33" i="2" s="1"/>
  <c r="E232" i="2"/>
  <c r="E227" i="2"/>
  <c r="E222" i="2"/>
  <c r="E207" i="2"/>
  <c r="E199" i="2"/>
  <c r="E195" i="2"/>
  <c r="E177" i="2"/>
  <c r="E168" i="2"/>
  <c r="E159" i="2"/>
  <c r="E149" i="2"/>
  <c r="E138" i="2"/>
  <c r="E127" i="2"/>
  <c r="E113" i="2"/>
  <c r="E102" i="2"/>
  <c r="E95" i="2"/>
  <c r="E49" i="2"/>
  <c r="E20" i="2"/>
  <c r="E172" i="2"/>
  <c r="E226" i="2"/>
  <c r="E215" i="2"/>
  <c r="E210" i="2"/>
  <c r="E175" i="2"/>
  <c r="E151" i="2"/>
  <c r="E140" i="2"/>
  <c r="E122" i="2"/>
  <c r="E115" i="2"/>
  <c r="E104" i="2"/>
  <c r="E87" i="2"/>
  <c r="E81" i="2"/>
  <c r="E74" i="2"/>
  <c r="E38" i="2"/>
  <c r="E25" i="2"/>
  <c r="H25" i="2" s="1"/>
  <c r="I25" i="2" s="1"/>
  <c r="M25" i="2" s="1"/>
  <c r="E9" i="2"/>
  <c r="H9" i="2" s="1"/>
  <c r="I9" i="2" s="1"/>
  <c r="M9" i="2" s="1"/>
  <c r="E220" i="2"/>
  <c r="E201" i="2"/>
  <c r="E166" i="2"/>
  <c r="E136" i="2"/>
  <c r="E111" i="2"/>
  <c r="E64" i="2"/>
  <c r="E51" i="2"/>
  <c r="E31" i="2"/>
  <c r="E28" i="2"/>
  <c r="H28" i="2" s="1"/>
  <c r="I28" i="2" s="1"/>
  <c r="M28" i="2" s="1"/>
  <c r="E12" i="2"/>
  <c r="E224" i="2"/>
  <c r="E188" i="2"/>
  <c r="E125" i="2"/>
  <c r="E118" i="2"/>
  <c r="H118" i="2" s="1"/>
  <c r="I118" i="2" s="1"/>
  <c r="M118" i="2" s="1"/>
  <c r="E107" i="2"/>
  <c r="H107" i="2" s="1"/>
  <c r="I107" i="2" s="1"/>
  <c r="M107" i="2" s="1"/>
  <c r="E77" i="2"/>
  <c r="E47" i="2"/>
  <c r="E21" i="2"/>
  <c r="E219" i="2"/>
  <c r="E174" i="2"/>
  <c r="E96" i="2"/>
  <c r="E70" i="2"/>
  <c r="H70" i="2" s="1"/>
  <c r="I70" i="2" s="1"/>
  <c r="M70" i="2" s="1"/>
  <c r="E57" i="2"/>
  <c r="E200" i="2"/>
  <c r="E169" i="2"/>
  <c r="E160" i="2"/>
  <c r="E150" i="2"/>
  <c r="E135" i="2"/>
  <c r="E110" i="2"/>
  <c r="E86" i="2"/>
  <c r="E53" i="2"/>
  <c r="E37" i="2"/>
  <c r="E27" i="2"/>
  <c r="H27" i="2" s="1"/>
  <c r="I27" i="2" s="1"/>
  <c r="M27" i="2" s="1"/>
  <c r="E11" i="2"/>
  <c r="E213" i="2"/>
  <c r="E182" i="2"/>
  <c r="E124" i="2"/>
  <c r="E99" i="2"/>
  <c r="E66" i="2"/>
  <c r="H66" i="2" s="1"/>
  <c r="I66" i="2" s="1"/>
  <c r="M66" i="2" s="1"/>
  <c r="E60" i="2"/>
  <c r="E46" i="2"/>
  <c r="E238" i="2"/>
  <c r="E191" i="2"/>
  <c r="E131" i="2"/>
  <c r="E117" i="2"/>
  <c r="E69" i="2"/>
  <c r="E56" i="2"/>
  <c r="E30" i="2"/>
  <c r="C25" i="1"/>
  <c r="E156" i="2"/>
  <c r="E134" i="2"/>
  <c r="E109" i="2"/>
  <c r="E92" i="2"/>
  <c r="E72" i="2"/>
  <c r="E43" i="2"/>
  <c r="E23" i="2"/>
  <c r="C24" i="1"/>
  <c r="E62" i="2"/>
  <c r="E204" i="2"/>
  <c r="C6" i="1"/>
  <c r="C18" i="1"/>
  <c r="G165" i="2"/>
  <c r="G177" i="2"/>
  <c r="G91" i="2"/>
  <c r="G32" i="2"/>
  <c r="G46" i="2"/>
  <c r="G49" i="2"/>
  <c r="G63" i="2"/>
  <c r="G71" i="2"/>
  <c r="G74" i="2"/>
  <c r="G77" i="2"/>
  <c r="G137" i="2"/>
  <c r="G169" i="2"/>
  <c r="G194" i="2"/>
  <c r="G10" i="2"/>
  <c r="G21" i="2"/>
  <c r="G24" i="2"/>
  <c r="G35" i="2"/>
  <c r="G38" i="2"/>
  <c r="G41" i="2"/>
  <c r="G66" i="2"/>
  <c r="G80" i="2"/>
  <c r="G94" i="2"/>
  <c r="G112" i="2"/>
  <c r="G115" i="2"/>
  <c r="G206" i="2"/>
  <c r="G13" i="2"/>
  <c r="G16" i="2"/>
  <c r="G27" i="2"/>
  <c r="G52" i="2"/>
  <c r="G55" i="2"/>
  <c r="G58" i="2"/>
  <c r="G69" i="2"/>
  <c r="G97" i="2"/>
  <c r="G100" i="2"/>
  <c r="G103" i="2"/>
  <c r="G106" i="2"/>
  <c r="G109" i="2"/>
  <c r="G118" i="2"/>
  <c r="G121" i="2"/>
  <c r="G134" i="2"/>
  <c r="G182" i="2"/>
  <c r="G162" i="2"/>
  <c r="G170" i="2"/>
  <c r="G225" i="2"/>
  <c r="G8" i="2"/>
  <c r="G47" i="2"/>
  <c r="G50" i="2"/>
  <c r="G72" i="2"/>
  <c r="G75" i="2"/>
  <c r="G78" i="2"/>
  <c r="G92" i="2"/>
  <c r="G128" i="2"/>
  <c r="G138" i="2"/>
  <c r="G242" i="2"/>
  <c r="G11" i="2"/>
  <c r="G22" i="2"/>
  <c r="G33" i="2"/>
  <c r="G36" i="2"/>
  <c r="G39" i="2"/>
  <c r="G64" i="2"/>
  <c r="G67" i="2"/>
  <c r="G81" i="2"/>
  <c r="G113" i="2"/>
  <c r="G116" i="2"/>
  <c r="G125" i="2"/>
  <c r="G145" i="2"/>
  <c r="G217" i="2"/>
  <c r="G14" i="2"/>
  <c r="G17" i="2"/>
  <c r="G25" i="2"/>
  <c r="G28" i="2"/>
  <c r="G42" i="2"/>
  <c r="G53" i="2"/>
  <c r="G56" i="2"/>
  <c r="G59" i="2"/>
  <c r="G95" i="2"/>
  <c r="G98" i="2"/>
  <c r="G101" i="2"/>
  <c r="G104" i="2"/>
  <c r="G107" i="2"/>
  <c r="G110" i="2"/>
  <c r="G122" i="2"/>
  <c r="G141" i="2"/>
  <c r="G6" i="2"/>
  <c r="G31" i="2"/>
  <c r="G62" i="2"/>
  <c r="G70" i="2"/>
  <c r="G84" i="2"/>
  <c r="G87" i="2"/>
  <c r="G90" i="2"/>
  <c r="G119" i="2"/>
  <c r="G213" i="2"/>
  <c r="G237" i="2"/>
  <c r="G189" i="2"/>
  <c r="G193" i="2"/>
  <c r="G218" i="2"/>
  <c r="C243" i="2"/>
  <c r="C220" i="2"/>
  <c r="C244" i="2"/>
  <c r="C239" i="2"/>
  <c r="E218" i="2"/>
  <c r="E235" i="2"/>
  <c r="H51" i="2"/>
  <c r="I51" i="2" s="1"/>
  <c r="M51" i="2" s="1"/>
  <c r="F14" i="2"/>
  <c r="H14" i="2" s="1"/>
  <c r="I14" i="2" s="1"/>
  <c r="M14" i="2" s="1"/>
  <c r="F26" i="2"/>
  <c r="H26" i="2" s="1"/>
  <c r="I26" i="2" s="1"/>
  <c r="M26" i="2" s="1"/>
  <c r="F38" i="2"/>
  <c r="F57" i="2"/>
  <c r="F76" i="2"/>
  <c r="H76" i="2" s="1"/>
  <c r="I76" i="2" s="1"/>
  <c r="M76" i="2" s="1"/>
  <c r="F88" i="2"/>
  <c r="H88" i="2" s="1"/>
  <c r="I88" i="2" s="1"/>
  <c r="M88" i="2" s="1"/>
  <c r="F100" i="2"/>
  <c r="F107" i="2"/>
  <c r="F112" i="2"/>
  <c r="F127" i="2"/>
  <c r="F135" i="2"/>
  <c r="H135" i="2" s="1"/>
  <c r="F146" i="2"/>
  <c r="H146" i="2" s="1"/>
  <c r="I146" i="2" s="1"/>
  <c r="M146" i="2" s="1"/>
  <c r="F163" i="2"/>
  <c r="F166" i="2"/>
  <c r="F169" i="2"/>
  <c r="H169" i="2" s="1"/>
  <c r="F175" i="2"/>
  <c r="H175" i="2" s="1"/>
  <c r="F196" i="2"/>
  <c r="F199" i="2"/>
  <c r="F205" i="2"/>
  <c r="H205" i="2" s="1"/>
  <c r="I205" i="2" s="1"/>
  <c r="M205" i="2" s="1"/>
  <c r="F208" i="2"/>
  <c r="F221" i="2"/>
  <c r="F231" i="2"/>
  <c r="F242" i="2"/>
  <c r="F190" i="2"/>
  <c r="H190" i="2" s="1"/>
  <c r="F7" i="2"/>
  <c r="H7" i="2" s="1"/>
  <c r="I7" i="2" s="1"/>
  <c r="M7" i="2" s="1"/>
  <c r="F19" i="2"/>
  <c r="H19" i="2" s="1"/>
  <c r="I19" i="2" s="1"/>
  <c r="M19" i="2" s="1"/>
  <c r="F31" i="2"/>
  <c r="F43" i="2"/>
  <c r="H43" i="2" s="1"/>
  <c r="I43" i="2" s="1"/>
  <c r="M43" i="2" s="1"/>
  <c r="F50" i="2"/>
  <c r="H50" i="2" s="1"/>
  <c r="I50" i="2" s="1"/>
  <c r="M50" i="2" s="1"/>
  <c r="F62" i="2"/>
  <c r="F69" i="2"/>
  <c r="F81" i="2"/>
  <c r="F93" i="2"/>
  <c r="F117" i="2"/>
  <c r="F122" i="2"/>
  <c r="F138" i="2"/>
  <c r="H138" i="2" s="1"/>
  <c r="I138" i="2" s="1"/>
  <c r="M138" i="2" s="1"/>
  <c r="F149" i="2"/>
  <c r="H149" i="2" s="1"/>
  <c r="F160" i="2"/>
  <c r="H160" i="2" s="1"/>
  <c r="F172" i="2"/>
  <c r="F178" i="2"/>
  <c r="H178" i="2" s="1"/>
  <c r="F184" i="2"/>
  <c r="F202" i="2"/>
  <c r="H202" i="2" s="1"/>
  <c r="F212" i="2"/>
  <c r="F215" i="2"/>
  <c r="F187" i="2"/>
  <c r="F12" i="2"/>
  <c r="F24" i="2"/>
  <c r="F36" i="2"/>
  <c r="H36" i="2" s="1"/>
  <c r="I36" i="2" s="1"/>
  <c r="M36" i="2" s="1"/>
  <c r="F48" i="2"/>
  <c r="H48" i="2" s="1"/>
  <c r="I48" i="2" s="1"/>
  <c r="M48" i="2" s="1"/>
  <c r="F55" i="2"/>
  <c r="H55" i="2" s="1"/>
  <c r="I55" i="2" s="1"/>
  <c r="M55" i="2" s="1"/>
  <c r="F74" i="2"/>
  <c r="F86" i="2"/>
  <c r="H86" i="2" s="1"/>
  <c r="I86" i="2" s="1"/>
  <c r="M86" i="2" s="1"/>
  <c r="F98" i="2"/>
  <c r="H98" i="2" s="1"/>
  <c r="F105" i="2"/>
  <c r="F125" i="2"/>
  <c r="F130" i="2"/>
  <c r="F133" i="2"/>
  <c r="F141" i="2"/>
  <c r="F152" i="2"/>
  <c r="F225" i="2"/>
  <c r="F228" i="2"/>
  <c r="F235" i="2"/>
  <c r="C26" i="1"/>
  <c r="F17" i="2"/>
  <c r="F29" i="2"/>
  <c r="F41" i="2"/>
  <c r="H41" i="2" s="1"/>
  <c r="F60" i="2"/>
  <c r="H60" i="2" s="1"/>
  <c r="I60" i="2" s="1"/>
  <c r="M60" i="2" s="1"/>
  <c r="F67" i="2"/>
  <c r="H67" i="2" s="1"/>
  <c r="I67" i="2" s="1"/>
  <c r="M67" i="2" s="1"/>
  <c r="F79" i="2"/>
  <c r="F91" i="2"/>
  <c r="H91" i="2" s="1"/>
  <c r="I91" i="2" s="1"/>
  <c r="M91" i="2" s="1"/>
  <c r="F103" i="2"/>
  <c r="F110" i="2"/>
  <c r="H110" i="2" s="1"/>
  <c r="I110" i="2" s="1"/>
  <c r="M110" i="2" s="1"/>
  <c r="F115" i="2"/>
  <c r="H115" i="2" s="1"/>
  <c r="F144" i="2"/>
  <c r="H144" i="2" s="1"/>
  <c r="F155" i="2"/>
  <c r="H155" i="2" s="1"/>
  <c r="F176" i="2"/>
  <c r="F188" i="2"/>
  <c r="H188" i="2" s="1"/>
  <c r="F191" i="2"/>
  <c r="F194" i="2"/>
  <c r="F209" i="2"/>
  <c r="F239" i="2"/>
  <c r="F10" i="2"/>
  <c r="H10" i="2" s="1"/>
  <c r="I10" i="2" s="1"/>
  <c r="M10" i="2" s="1"/>
  <c r="F53" i="2"/>
  <c r="H53" i="2" s="1"/>
  <c r="I53" i="2" s="1"/>
  <c r="M53" i="2" s="1"/>
  <c r="F65" i="2"/>
  <c r="H65" i="2" s="1"/>
  <c r="I65" i="2" s="1"/>
  <c r="M65" i="2" s="1"/>
  <c r="F84" i="2"/>
  <c r="H84" i="2" s="1"/>
  <c r="I84" i="2" s="1"/>
  <c r="M84" i="2" s="1"/>
  <c r="F96" i="2"/>
  <c r="F120" i="2"/>
  <c r="F128" i="2"/>
  <c r="H128" i="2" s="1"/>
  <c r="F136" i="2"/>
  <c r="H136" i="2" s="1"/>
  <c r="F158" i="2"/>
  <c r="F164" i="2"/>
  <c r="F167" i="2"/>
  <c r="F170" i="2"/>
  <c r="F173" i="2"/>
  <c r="F179" i="2"/>
  <c r="F182" i="2"/>
  <c r="F197" i="2"/>
  <c r="H197" i="2" s="1"/>
  <c r="F200" i="2"/>
  <c r="F203" i="2"/>
  <c r="F206" i="2"/>
  <c r="F216" i="2"/>
  <c r="F219" i="2"/>
  <c r="H219" i="2" s="1"/>
  <c r="F222" i="2"/>
  <c r="H222" i="2" s="1"/>
  <c r="F232" i="2"/>
  <c r="H232" i="2" s="1"/>
  <c r="F243" i="2"/>
  <c r="F22" i="2"/>
  <c r="F34" i="2"/>
  <c r="H34" i="2" s="1"/>
  <c r="I34" i="2" s="1"/>
  <c r="M34" i="2" s="1"/>
  <c r="F46" i="2"/>
  <c r="H46" i="2" s="1"/>
  <c r="I46" i="2" s="1"/>
  <c r="M46" i="2" s="1"/>
  <c r="F72" i="2"/>
  <c r="F15" i="2"/>
  <c r="F27" i="2"/>
  <c r="F39" i="2"/>
  <c r="F58" i="2"/>
  <c r="F77" i="2"/>
  <c r="H77" i="2" s="1"/>
  <c r="I77" i="2" s="1"/>
  <c r="M77" i="2" s="1"/>
  <c r="F89" i="2"/>
  <c r="H89" i="2" s="1"/>
  <c r="I89" i="2" s="1"/>
  <c r="M89" i="2" s="1"/>
  <c r="F101" i="2"/>
  <c r="H101" i="2" s="1"/>
  <c r="I101" i="2" s="1"/>
  <c r="M101" i="2" s="1"/>
  <c r="F108" i="2"/>
  <c r="H108" i="2" s="1"/>
  <c r="I108" i="2" s="1"/>
  <c r="M108" i="2" s="1"/>
  <c r="F113" i="2"/>
  <c r="H113" i="2" s="1"/>
  <c r="I113" i="2" s="1"/>
  <c r="M113" i="2" s="1"/>
  <c r="H139" i="2"/>
  <c r="F147" i="2"/>
  <c r="H147" i="2" s="1"/>
  <c r="F150" i="2"/>
  <c r="F161" i="2"/>
  <c r="H161" i="2" s="1"/>
  <c r="I161" i="2" s="1"/>
  <c r="M161" i="2" s="1"/>
  <c r="F185" i="2"/>
  <c r="H185" i="2" s="1"/>
  <c r="F213" i="2"/>
  <c r="F236" i="2"/>
  <c r="F153" i="2"/>
  <c r="F189" i="2"/>
  <c r="F192" i="2"/>
  <c r="F229" i="2"/>
  <c r="F240" i="2"/>
  <c r="F37" i="2"/>
  <c r="H37" i="2" s="1"/>
  <c r="I37" i="2" s="1"/>
  <c r="M37" i="2" s="1"/>
  <c r="F49" i="2"/>
  <c r="H49" i="2" s="1"/>
  <c r="I49" i="2" s="1"/>
  <c r="M49" i="2" s="1"/>
  <c r="F56" i="2"/>
  <c r="F75" i="2"/>
  <c r="H75" i="2" s="1"/>
  <c r="I75" i="2" s="1"/>
  <c r="M75" i="2" s="1"/>
  <c r="F87" i="2"/>
  <c r="F99" i="2"/>
  <c r="F106" i="2"/>
  <c r="H106" i="2" s="1"/>
  <c r="F126" i="2"/>
  <c r="H126" i="2" s="1"/>
  <c r="I126" i="2" s="1"/>
  <c r="M126" i="2" s="1"/>
  <c r="F134" i="2"/>
  <c r="F142" i="2"/>
  <c r="F145" i="2"/>
  <c r="H145" i="2" s="1"/>
  <c r="I145" i="2" s="1"/>
  <c r="M145" i="2" s="1"/>
  <c r="F156" i="2"/>
  <c r="H156" i="2" s="1"/>
  <c r="F165" i="2"/>
  <c r="F177" i="2"/>
  <c r="H177" i="2" s="1"/>
  <c r="I177" i="2" s="1"/>
  <c r="M177" i="2" s="1"/>
  <c r="F210" i="2"/>
  <c r="F217" i="2"/>
  <c r="F223" i="2"/>
  <c r="F226" i="2"/>
  <c r="F233" i="2"/>
  <c r="F244" i="2"/>
  <c r="F111" i="2"/>
  <c r="H111" i="2" s="1"/>
  <c r="F116" i="2"/>
  <c r="F121" i="2"/>
  <c r="F137" i="2"/>
  <c r="F162" i="2"/>
  <c r="F168" i="2"/>
  <c r="H168" i="2" s="1"/>
  <c r="F174" i="2"/>
  <c r="H174" i="2" s="1"/>
  <c r="I174" i="2" s="1"/>
  <c r="F180" i="2"/>
  <c r="F186" i="2"/>
  <c r="F195" i="2"/>
  <c r="F198" i="2"/>
  <c r="F201" i="2"/>
  <c r="F204" i="2"/>
  <c r="F220" i="2"/>
  <c r="F237" i="2"/>
  <c r="F11" i="2"/>
  <c r="H11" i="2" s="1"/>
  <c r="F23" i="2"/>
  <c r="F35" i="2"/>
  <c r="F47" i="2"/>
  <c r="H47" i="2" s="1"/>
  <c r="I47" i="2" s="1"/>
  <c r="M47" i="2" s="1"/>
  <c r="F54" i="2"/>
  <c r="H54" i="2" s="1"/>
  <c r="I54" i="2" s="1"/>
  <c r="M54" i="2" s="1"/>
  <c r="F73" i="2"/>
  <c r="H73" i="2" s="1"/>
  <c r="I73" i="2" s="1"/>
  <c r="M73" i="2" s="1"/>
  <c r="F85" i="2"/>
  <c r="F97" i="2"/>
  <c r="H97" i="2" s="1"/>
  <c r="I97" i="2" s="1"/>
  <c r="M97" i="2" s="1"/>
  <c r="F104" i="2"/>
  <c r="H104" i="2" s="1"/>
  <c r="F129" i="2"/>
  <c r="F148" i="2"/>
  <c r="F159" i="2"/>
  <c r="F171" i="2"/>
  <c r="F207" i="2"/>
  <c r="H207" i="2" s="1"/>
  <c r="F214" i="2"/>
  <c r="F230" i="2"/>
  <c r="F241" i="2"/>
  <c r="F16" i="2"/>
  <c r="H16" i="2" s="1"/>
  <c r="I16" i="2" s="1"/>
  <c r="M16" i="2" s="1"/>
  <c r="F28" i="2"/>
  <c r="F40" i="2"/>
  <c r="H52" i="2"/>
  <c r="I52" i="2" s="1"/>
  <c r="M52" i="2" s="1"/>
  <c r="F59" i="2"/>
  <c r="H59" i="2" s="1"/>
  <c r="I59" i="2" s="1"/>
  <c r="M59" i="2" s="1"/>
  <c r="F66" i="2"/>
  <c r="H71" i="2"/>
  <c r="I71" i="2" s="1"/>
  <c r="M71" i="2" s="1"/>
  <c r="F78" i="2"/>
  <c r="H78" i="2" s="1"/>
  <c r="I78" i="2" s="1"/>
  <c r="M78" i="2" s="1"/>
  <c r="F90" i="2"/>
  <c r="F102" i="2"/>
  <c r="H102" i="2" s="1"/>
  <c r="I102" i="2" s="1"/>
  <c r="M102" i="2" s="1"/>
  <c r="F109" i="2"/>
  <c r="H109" i="2" s="1"/>
  <c r="I109" i="2" s="1"/>
  <c r="M109" i="2" s="1"/>
  <c r="F114" i="2"/>
  <c r="F124" i="2"/>
  <c r="F132" i="2"/>
  <c r="H132" i="2" s="1"/>
  <c r="F140" i="2"/>
  <c r="F151" i="2"/>
  <c r="F183" i="2"/>
  <c r="F193" i="2"/>
  <c r="H193" i="2" s="1"/>
  <c r="F211" i="2"/>
  <c r="F234" i="2"/>
  <c r="F245" i="2"/>
  <c r="F181" i="2"/>
  <c r="F218" i="2"/>
  <c r="F224" i="2"/>
  <c r="F227" i="2"/>
  <c r="H227" i="2" s="1"/>
  <c r="E216" i="2"/>
  <c r="H216" i="2" s="1"/>
  <c r="I216" i="2" s="1"/>
  <c r="M216" i="2" s="1"/>
  <c r="E230" i="2"/>
  <c r="E233" i="2"/>
  <c r="E236" i="2"/>
  <c r="C27" i="1"/>
  <c r="E170" i="2"/>
  <c r="E181" i="2"/>
  <c r="E186" i="2"/>
  <c r="E189" i="2"/>
  <c r="E208" i="2"/>
  <c r="H208" i="2" s="1"/>
  <c r="E211" i="2"/>
  <c r="E225" i="2"/>
  <c r="E162" i="2"/>
  <c r="H162" i="2" s="1"/>
  <c r="I162" i="2" s="1"/>
  <c r="E173" i="2"/>
  <c r="E176" i="2"/>
  <c r="H176" i="2" s="1"/>
  <c r="E192" i="2"/>
  <c r="E203" i="2"/>
  <c r="E214" i="2"/>
  <c r="E217" i="2"/>
  <c r="E231" i="2"/>
  <c r="E234" i="2"/>
  <c r="E244" i="2"/>
  <c r="E165" i="2"/>
  <c r="E206" i="2"/>
  <c r="E241" i="2"/>
  <c r="H241" i="2" s="1"/>
  <c r="I241" i="2" s="1"/>
  <c r="M241" i="2" s="1"/>
  <c r="H157" i="2"/>
  <c r="I157" i="2" s="1"/>
  <c r="M157" i="2" s="1"/>
  <c r="E179" i="2"/>
  <c r="H179" i="2" s="1"/>
  <c r="E184" i="2"/>
  <c r="E187" i="2"/>
  <c r="H187" i="2" s="1"/>
  <c r="I187" i="2" s="1"/>
  <c r="M187" i="2" s="1"/>
  <c r="E209" i="2"/>
  <c r="H209" i="2" s="1"/>
  <c r="E212" i="2"/>
  <c r="E223" i="2"/>
  <c r="E163" i="2"/>
  <c r="H13" i="2"/>
  <c r="I13" i="2" s="1"/>
  <c r="M13" i="2" s="1"/>
  <c r="H85" i="2"/>
  <c r="I85" i="2" s="1"/>
  <c r="M85" i="2" s="1"/>
  <c r="H130" i="2"/>
  <c r="H191" i="2"/>
  <c r="I191" i="2" s="1"/>
  <c r="M191" i="2" s="1"/>
  <c r="H199" i="2"/>
  <c r="H44" i="2"/>
  <c r="I44" i="2" s="1"/>
  <c r="M44" i="2" s="1"/>
  <c r="H154" i="2"/>
  <c r="H21" i="2"/>
  <c r="I21" i="2" s="1"/>
  <c r="M21" i="2" s="1"/>
  <c r="H81" i="2"/>
  <c r="I81" i="2" s="1"/>
  <c r="M81" i="2" s="1"/>
  <c r="H95" i="2"/>
  <c r="I95" i="2" s="1"/>
  <c r="M95" i="2" s="1"/>
  <c r="H56" i="2"/>
  <c r="I56" i="2" s="1"/>
  <c r="M56" i="2" s="1"/>
  <c r="H211" i="2"/>
  <c r="H72" i="2"/>
  <c r="H96" i="2"/>
  <c r="I96" i="2" s="1"/>
  <c r="M96" i="2" s="1"/>
  <c r="H112" i="2"/>
  <c r="H220" i="2"/>
  <c r="H68" i="2"/>
  <c r="I68" i="2" s="1"/>
  <c r="M68" i="2" s="1"/>
  <c r="H122" i="2"/>
  <c r="H94" i="2"/>
  <c r="I94" i="2" s="1"/>
  <c r="M94" i="2" s="1"/>
  <c r="H143" i="2"/>
  <c r="H196" i="2"/>
  <c r="H235" i="2"/>
  <c r="H39" i="2"/>
  <c r="I39" i="2" s="1"/>
  <c r="M39" i="2" s="1"/>
  <c r="H87" i="2"/>
  <c r="I87" i="2" s="1"/>
  <c r="M87" i="2" s="1"/>
  <c r="E228" i="2"/>
  <c r="H228" i="2" s="1"/>
  <c r="E239" i="2"/>
  <c r="H239" i="2" s="1"/>
  <c r="E242" i="2"/>
  <c r="H242" i="2" s="1"/>
  <c r="I242" i="2" s="1"/>
  <c r="M242" i="2" s="1"/>
  <c r="E237" i="2"/>
  <c r="E245" i="2"/>
  <c r="E240" i="2"/>
  <c r="H238" i="2"/>
  <c r="E243" i="2"/>
  <c r="H32" i="2"/>
  <c r="I32" i="2" s="1"/>
  <c r="M32" i="2" s="1"/>
  <c r="H20" i="2"/>
  <c r="I20" i="2" s="1"/>
  <c r="M20" i="2" s="1"/>
  <c r="H23" i="2"/>
  <c r="I23" i="2" s="1"/>
  <c r="M23" i="2" s="1"/>
  <c r="G230" i="2"/>
  <c r="G241" i="2"/>
  <c r="G238" i="2"/>
  <c r="G226" i="2"/>
  <c r="G214" i="2"/>
  <c r="G202" i="2"/>
  <c r="G190" i="2"/>
  <c r="G178" i="2"/>
  <c r="G166" i="2"/>
  <c r="G154" i="2"/>
  <c r="G142" i="2"/>
  <c r="G130" i="2"/>
  <c r="G239" i="2"/>
  <c r="G227" i="2"/>
  <c r="G215" i="2"/>
  <c r="G203" i="2"/>
  <c r="G191" i="2"/>
  <c r="G179" i="2"/>
  <c r="G167" i="2"/>
  <c r="G155" i="2"/>
  <c r="G143" i="2"/>
  <c r="G131" i="2"/>
  <c r="G240" i="2"/>
  <c r="G228" i="2"/>
  <c r="G216" i="2"/>
  <c r="G204" i="2"/>
  <c r="G192" i="2"/>
  <c r="G180" i="2"/>
  <c r="G168" i="2"/>
  <c r="G156" i="2"/>
  <c r="G144" i="2"/>
  <c r="G132" i="2"/>
  <c r="G120" i="2"/>
  <c r="G243" i="2"/>
  <c r="G231" i="2"/>
  <c r="G219" i="2"/>
  <c r="G207" i="2"/>
  <c r="G195" i="2"/>
  <c r="G183" i="2"/>
  <c r="G171" i="2"/>
  <c r="G159" i="2"/>
  <c r="G147" i="2"/>
  <c r="G135" i="2"/>
  <c r="G123" i="2"/>
  <c r="G111" i="2"/>
  <c r="C28" i="1"/>
  <c r="G244" i="2"/>
  <c r="G232" i="2"/>
  <c r="G220" i="2"/>
  <c r="G208" i="2"/>
  <c r="G196" i="2"/>
  <c r="G184" i="2"/>
  <c r="G172" i="2"/>
  <c r="G160" i="2"/>
  <c r="G148" i="2"/>
  <c r="G136" i="2"/>
  <c r="G124" i="2"/>
  <c r="G245" i="2"/>
  <c r="G233" i="2"/>
  <c r="G221" i="2"/>
  <c r="G209" i="2"/>
  <c r="G197" i="2"/>
  <c r="G185" i="2"/>
  <c r="G173" i="2"/>
  <c r="G161" i="2"/>
  <c r="G149" i="2"/>
  <c r="G234" i="2"/>
  <c r="G222" i="2"/>
  <c r="G210" i="2"/>
  <c r="G198" i="2"/>
  <c r="G186" i="2"/>
  <c r="G174" i="2"/>
  <c r="G235" i="2"/>
  <c r="G223" i="2"/>
  <c r="G211" i="2"/>
  <c r="G199" i="2"/>
  <c r="G187" i="2"/>
  <c r="G175" i="2"/>
  <c r="G163" i="2"/>
  <c r="G151" i="2"/>
  <c r="G139" i="2"/>
  <c r="G127" i="2"/>
  <c r="G236" i="2"/>
  <c r="G224" i="2"/>
  <c r="G212" i="2"/>
  <c r="G200" i="2"/>
  <c r="G188" i="2"/>
  <c r="G176" i="2"/>
  <c r="G164" i="2"/>
  <c r="G152" i="2"/>
  <c r="G140" i="2"/>
  <c r="H184" i="2" l="1"/>
  <c r="H236" i="2"/>
  <c r="I236" i="2" s="1"/>
  <c r="M236" i="2" s="1"/>
  <c r="H40" i="2"/>
  <c r="I40" i="2" s="1"/>
  <c r="M40" i="2" s="1"/>
  <c r="H240" i="2"/>
  <c r="I240" i="2" s="1"/>
  <c r="M240" i="2" s="1"/>
  <c r="H124" i="2"/>
  <c r="H125" i="2"/>
  <c r="I125" i="2" s="1"/>
  <c r="M125" i="2" s="1"/>
  <c r="H30" i="2"/>
  <c r="I30" i="2" s="1"/>
  <c r="M30" i="2" s="1"/>
  <c r="H213" i="2"/>
  <c r="I213" i="2" s="1"/>
  <c r="M213" i="2" s="1"/>
  <c r="H215" i="2"/>
  <c r="I215" i="2" s="1"/>
  <c r="M215" i="2" s="1"/>
  <c r="H29" i="2"/>
  <c r="I29" i="2" s="1"/>
  <c r="M29" i="2" s="1"/>
  <c r="I211" i="2"/>
  <c r="M211" i="2" s="1"/>
  <c r="H62" i="2"/>
  <c r="I62" i="2" s="1"/>
  <c r="M62" i="2" s="1"/>
  <c r="H83" i="2"/>
  <c r="I83" i="2" s="1"/>
  <c r="M83" i="2" s="1"/>
  <c r="H164" i="2"/>
  <c r="I164" i="2" s="1"/>
  <c r="M164" i="2" s="1"/>
  <c r="H35" i="2"/>
  <c r="I35" i="2" s="1"/>
  <c r="M35" i="2" s="1"/>
  <c r="H212" i="2"/>
  <c r="I212" i="2" s="1"/>
  <c r="M212" i="2" s="1"/>
  <c r="H79" i="2"/>
  <c r="I79" i="2" s="1"/>
  <c r="M79" i="2" s="1"/>
  <c r="H152" i="2"/>
  <c r="H120" i="2"/>
  <c r="I120" i="2" s="1"/>
  <c r="M120" i="2" s="1"/>
  <c r="H180" i="2"/>
  <c r="H57" i="2"/>
  <c r="I57" i="2" s="1"/>
  <c r="M57" i="2" s="1"/>
  <c r="I143" i="2"/>
  <c r="M143" i="2" s="1"/>
  <c r="H90" i="2"/>
  <c r="I90" i="2" s="1"/>
  <c r="M90" i="2" s="1"/>
  <c r="H210" i="2"/>
  <c r="I210" i="2" s="1"/>
  <c r="M210" i="2" s="1"/>
  <c r="H150" i="2"/>
  <c r="I150" i="2" s="1"/>
  <c r="H15" i="2"/>
  <c r="I15" i="2" s="1"/>
  <c r="M15" i="2" s="1"/>
  <c r="H200" i="2"/>
  <c r="H74" i="2"/>
  <c r="I74" i="2" s="1"/>
  <c r="M74" i="2" s="1"/>
  <c r="H172" i="2"/>
  <c r="I172" i="2" s="1"/>
  <c r="M172" i="2" s="1"/>
  <c r="H31" i="2"/>
  <c r="I31" i="2" s="1"/>
  <c r="M31" i="2" s="1"/>
  <c r="H38" i="2"/>
  <c r="I38" i="2" s="1"/>
  <c r="M38" i="2" s="1"/>
  <c r="H137" i="2"/>
  <c r="H142" i="2"/>
  <c r="I142" i="2" s="1"/>
  <c r="M142" i="2" s="1"/>
  <c r="H117" i="2"/>
  <c r="I117" i="2" s="1"/>
  <c r="M117" i="2" s="1"/>
  <c r="H129" i="2"/>
  <c r="I129" i="2" s="1"/>
  <c r="M129" i="2" s="1"/>
  <c r="H204" i="2"/>
  <c r="I204" i="2" s="1"/>
  <c r="M204" i="2" s="1"/>
  <c r="H134" i="2"/>
  <c r="I134" i="2" s="1"/>
  <c r="M134" i="2" s="1"/>
  <c r="H167" i="2"/>
  <c r="H133" i="2"/>
  <c r="I133" i="2" s="1"/>
  <c r="M133" i="2" s="1"/>
  <c r="H93" i="2"/>
  <c r="I93" i="2" s="1"/>
  <c r="M93" i="2" s="1"/>
  <c r="H221" i="2"/>
  <c r="I221" i="2" s="1"/>
  <c r="M221" i="2" s="1"/>
  <c r="H182" i="2"/>
  <c r="I182" i="2" s="1"/>
  <c r="M182" i="2" s="1"/>
  <c r="H159" i="2"/>
  <c r="H229" i="2"/>
  <c r="I229" i="2" s="1"/>
  <c r="M229" i="2" s="1"/>
  <c r="H148" i="2"/>
  <c r="I148" i="2" s="1"/>
  <c r="M148" i="2" s="1"/>
  <c r="H116" i="2"/>
  <c r="I116" i="2" s="1"/>
  <c r="M116" i="2" s="1"/>
  <c r="H12" i="2"/>
  <c r="I12" i="2" s="1"/>
  <c r="M12" i="2" s="1"/>
  <c r="H127" i="2"/>
  <c r="I127" i="2" s="1"/>
  <c r="M127" i="2" s="1"/>
  <c r="H201" i="2"/>
  <c r="I201" i="2" s="1"/>
  <c r="M201" i="2" s="1"/>
  <c r="H153" i="2"/>
  <c r="I153" i="2" s="1"/>
  <c r="M153" i="2" s="1"/>
  <c r="H166" i="2"/>
  <c r="H183" i="2"/>
  <c r="I183" i="2" s="1"/>
  <c r="M183" i="2" s="1"/>
  <c r="H151" i="2"/>
  <c r="I151" i="2" s="1"/>
  <c r="M151" i="2" s="1"/>
  <c r="H22" i="2"/>
  <c r="I22" i="2" s="1"/>
  <c r="M22" i="2" s="1"/>
  <c r="H140" i="2"/>
  <c r="I140" i="2" s="1"/>
  <c r="M140" i="2" s="1"/>
  <c r="H141" i="2"/>
  <c r="I141" i="2" s="1"/>
  <c r="M141" i="2" s="1"/>
  <c r="H224" i="2"/>
  <c r="I224" i="2" s="1"/>
  <c r="M224" i="2" s="1"/>
  <c r="H198" i="2"/>
  <c r="I198" i="2" s="1"/>
  <c r="M198" i="2" s="1"/>
  <c r="H158" i="2"/>
  <c r="I158" i="2" s="1"/>
  <c r="M158" i="2" s="1"/>
  <c r="H194" i="2"/>
  <c r="I194" i="2" s="1"/>
  <c r="M194" i="2" s="1"/>
  <c r="H69" i="2"/>
  <c r="I69" i="2" s="1"/>
  <c r="M69" i="2" s="1"/>
  <c r="H100" i="2"/>
  <c r="H171" i="2"/>
  <c r="I171" i="2" s="1"/>
  <c r="M171" i="2" s="1"/>
  <c r="H121" i="2"/>
  <c r="I121" i="2" s="1"/>
  <c r="M121" i="2" s="1"/>
  <c r="H103" i="2"/>
  <c r="I103" i="2" s="1"/>
  <c r="M103" i="2" s="1"/>
  <c r="H218" i="2"/>
  <c r="I218" i="2" s="1"/>
  <c r="M218" i="2" s="1"/>
  <c r="H114" i="2"/>
  <c r="I114" i="2" s="1"/>
  <c r="M114" i="2" s="1"/>
  <c r="H195" i="2"/>
  <c r="I195" i="2" s="1"/>
  <c r="M195" i="2" s="1"/>
  <c r="H226" i="2"/>
  <c r="I226" i="2" s="1"/>
  <c r="M226" i="2" s="1"/>
  <c r="H99" i="2"/>
  <c r="I99" i="2" s="1"/>
  <c r="M99" i="2" s="1"/>
  <c r="H58" i="2"/>
  <c r="I58" i="2" s="1"/>
  <c r="M58" i="2" s="1"/>
  <c r="H105" i="2"/>
  <c r="I105" i="2" s="1"/>
  <c r="M105" i="2" s="1"/>
  <c r="G246" i="2"/>
  <c r="I112" i="2"/>
  <c r="M112" i="2" s="1"/>
  <c r="I168" i="2"/>
  <c r="M168" i="2" s="1"/>
  <c r="I144" i="2"/>
  <c r="M144" i="2" s="1"/>
  <c r="I169" i="2"/>
  <c r="M169" i="2" s="1"/>
  <c r="I193" i="2"/>
  <c r="M193" i="2" s="1"/>
  <c r="I115" i="2"/>
  <c r="M115" i="2" s="1"/>
  <c r="I42" i="2"/>
  <c r="M42" i="2" s="1"/>
  <c r="I11" i="2"/>
  <c r="M11" i="2" s="1"/>
  <c r="I137" i="2"/>
  <c r="M137" i="2" s="1"/>
  <c r="I190" i="2"/>
  <c r="M190" i="2" s="1"/>
  <c r="I64" i="2"/>
  <c r="M64" i="2" s="1"/>
  <c r="I167" i="2"/>
  <c r="M167" i="2" s="1"/>
  <c r="I72" i="2"/>
  <c r="M72" i="2" s="1"/>
  <c r="I104" i="2"/>
  <c r="M104" i="2" s="1"/>
  <c r="I124" i="2"/>
  <c r="M124" i="2" s="1"/>
  <c r="I119" i="2"/>
  <c r="M119" i="2" s="1"/>
  <c r="I106" i="2"/>
  <c r="M106" i="2" s="1"/>
  <c r="I100" i="2"/>
  <c r="M100" i="2" s="1"/>
  <c r="I122" i="2"/>
  <c r="M122" i="2" s="1"/>
  <c r="I41" i="2"/>
  <c r="M41" i="2" s="1"/>
  <c r="I209" i="2"/>
  <c r="M209" i="2" s="1"/>
  <c r="I128" i="2"/>
  <c r="M128" i="2" s="1"/>
  <c r="I98" i="2"/>
  <c r="M98" i="2" s="1"/>
  <c r="I63" i="2"/>
  <c r="M63" i="2" s="1"/>
  <c r="H165" i="2"/>
  <c r="I165" i="2" s="1"/>
  <c r="M165" i="2" s="1"/>
  <c r="H214" i="2"/>
  <c r="I214" i="2" s="1"/>
  <c r="M214" i="2" s="1"/>
  <c r="H170" i="2"/>
  <c r="I170" i="2" s="1"/>
  <c r="M170" i="2" s="1"/>
  <c r="H181" i="2"/>
  <c r="I181" i="2" s="1"/>
  <c r="M181" i="2" s="1"/>
  <c r="H243" i="2"/>
  <c r="I243" i="2" s="1"/>
  <c r="M243" i="2" s="1"/>
  <c r="H225" i="2"/>
  <c r="I225" i="2" s="1"/>
  <c r="M225" i="2" s="1"/>
  <c r="I139" i="2"/>
  <c r="M139" i="2" s="1"/>
  <c r="H237" i="2"/>
  <c r="I237" i="2" s="1"/>
  <c r="M237" i="2" s="1"/>
  <c r="H189" i="2"/>
  <c r="I189" i="2" s="1"/>
  <c r="M189" i="2" s="1"/>
  <c r="I235" i="2"/>
  <c r="M235" i="2" s="1"/>
  <c r="H186" i="2"/>
  <c r="I186" i="2" s="1"/>
  <c r="M186" i="2" s="1"/>
  <c r="H206" i="2"/>
  <c r="I206" i="2" s="1"/>
  <c r="M206" i="2" s="1"/>
  <c r="H217" i="2"/>
  <c r="I217" i="2" s="1"/>
  <c r="M217" i="2" s="1"/>
  <c r="H163" i="2"/>
  <c r="I163" i="2" s="1"/>
  <c r="M163" i="2" s="1"/>
  <c r="F246" i="2"/>
  <c r="I111" i="2"/>
  <c r="M111" i="2" s="1"/>
  <c r="H223" i="2"/>
  <c r="I223" i="2" s="1"/>
  <c r="M223" i="2" s="1"/>
  <c r="H234" i="2"/>
  <c r="I234" i="2" s="1"/>
  <c r="M234" i="2" s="1"/>
  <c r="I208" i="2"/>
  <c r="M208" i="2" s="1"/>
  <c r="I131" i="2"/>
  <c r="M131" i="2" s="1"/>
  <c r="I179" i="2"/>
  <c r="M179" i="2" s="1"/>
  <c r="I199" i="2"/>
  <c r="M199" i="2" s="1"/>
  <c r="H173" i="2"/>
  <c r="I173" i="2" s="1"/>
  <c r="M173" i="2" s="1"/>
  <c r="C29" i="1"/>
  <c r="I154" i="2"/>
  <c r="M154" i="2" s="1"/>
  <c r="I166" i="2"/>
  <c r="M166" i="2" s="1"/>
  <c r="I222" i="2"/>
  <c r="M222" i="2" s="1"/>
  <c r="I132" i="2"/>
  <c r="M132" i="2" s="1"/>
  <c r="I155" i="2"/>
  <c r="M155" i="2" s="1"/>
  <c r="I178" i="2"/>
  <c r="M178" i="2" s="1"/>
  <c r="I135" i="2"/>
  <c r="M135" i="2" s="1"/>
  <c r="H244" i="2"/>
  <c r="I244" i="2" s="1"/>
  <c r="M244" i="2" s="1"/>
  <c r="I175" i="2"/>
  <c r="M175" i="2" s="1"/>
  <c r="I160" i="2"/>
  <c r="M160" i="2" s="1"/>
  <c r="I147" i="2"/>
  <c r="M147" i="2" s="1"/>
  <c r="H233" i="2"/>
  <c r="I233" i="2" s="1"/>
  <c r="M233" i="2" s="1"/>
  <c r="I159" i="2"/>
  <c r="M159" i="2" s="1"/>
  <c r="H245" i="2"/>
  <c r="I245" i="2" s="1"/>
  <c r="M245" i="2" s="1"/>
  <c r="H231" i="2"/>
  <c r="I231" i="2" s="1"/>
  <c r="M231" i="2" s="1"/>
  <c r="H230" i="2"/>
  <c r="I230" i="2" s="1"/>
  <c r="M230" i="2" s="1"/>
  <c r="I185" i="2"/>
  <c r="M185" i="2" s="1"/>
  <c r="I197" i="2"/>
  <c r="M197" i="2" s="1"/>
  <c r="I227" i="2"/>
  <c r="M227" i="2" s="1"/>
  <c r="H203" i="2"/>
  <c r="I203" i="2" s="1"/>
  <c r="M203" i="2" s="1"/>
  <c r="I207" i="2"/>
  <c r="M207" i="2" s="1"/>
  <c r="H192" i="2"/>
  <c r="I192" i="2" s="1"/>
  <c r="M192" i="2" s="1"/>
  <c r="I136" i="2"/>
  <c r="M136" i="2" s="1"/>
  <c r="I184" i="2"/>
  <c r="M184" i="2" s="1"/>
  <c r="I180" i="2"/>
  <c r="M180" i="2" s="1"/>
  <c r="I188" i="2"/>
  <c r="M188" i="2" s="1"/>
  <c r="I220" i="2"/>
  <c r="M220" i="2" s="1"/>
  <c r="I219" i="2"/>
  <c r="M219" i="2" s="1"/>
  <c r="I130" i="2"/>
  <c r="M130" i="2" s="1"/>
  <c r="I156" i="2"/>
  <c r="M156" i="2" s="1"/>
  <c r="I202" i="2"/>
  <c r="M202" i="2" s="1"/>
  <c r="I196" i="2"/>
  <c r="M196" i="2" s="1"/>
  <c r="I238" i="2"/>
  <c r="M238" i="2" s="1"/>
  <c r="I232" i="2"/>
  <c r="M232" i="2" s="1"/>
  <c r="I239" i="2"/>
  <c r="M239" i="2" s="1"/>
  <c r="E246" i="2"/>
  <c r="I228" i="2"/>
  <c r="M228" i="2" s="1"/>
  <c r="I152" i="2"/>
  <c r="M152" i="2" s="1"/>
  <c r="I176" i="2"/>
  <c r="M176" i="2" s="1"/>
  <c r="N11" i="2"/>
  <c r="M150" i="2"/>
  <c r="M18" i="2"/>
  <c r="M162" i="2"/>
  <c r="I6" i="2"/>
  <c r="N9" i="2"/>
  <c r="I123" i="2"/>
  <c r="M123" i="2" s="1"/>
  <c r="M174" i="2"/>
  <c r="I149" i="2"/>
  <c r="M149" i="2" s="1"/>
  <c r="N8" i="2"/>
  <c r="I200" i="2"/>
  <c r="M200" i="2" s="1"/>
  <c r="N12" i="2"/>
  <c r="N7" i="2" l="1"/>
  <c r="N13" i="2"/>
  <c r="N10" i="2"/>
  <c r="N24" i="2"/>
  <c r="N14" i="2"/>
  <c r="H246" i="2"/>
  <c r="N19" i="2"/>
  <c r="N20" i="2"/>
  <c r="N18" i="2"/>
  <c r="N23" i="2"/>
  <c r="N16" i="2"/>
  <c r="N25" i="2"/>
  <c r="N15" i="2"/>
  <c r="N17" i="2"/>
  <c r="N21" i="2"/>
  <c r="C254" i="2"/>
  <c r="C43" i="1" s="1"/>
  <c r="I246" i="2"/>
  <c r="K6" i="2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N6" i="2"/>
  <c r="M6" i="2"/>
  <c r="J6" i="2"/>
  <c r="N22" i="2"/>
  <c r="J7" i="2" l="1"/>
  <c r="C249" i="2"/>
  <c r="C38" i="1" s="1"/>
  <c r="C250" i="2"/>
  <c r="C39" i="1" s="1"/>
  <c r="J8" i="2" l="1"/>
  <c r="L7" i="2"/>
  <c r="J9" i="2" l="1"/>
  <c r="L8" i="2"/>
  <c r="J10" i="2" l="1"/>
  <c r="L9" i="2"/>
  <c r="J11" i="2" l="1"/>
  <c r="L10" i="2"/>
  <c r="J12" i="2" l="1"/>
  <c r="L11" i="2"/>
  <c r="J13" i="2" l="1"/>
  <c r="L12" i="2"/>
  <c r="J14" i="2" l="1"/>
  <c r="L13" i="2"/>
  <c r="L14" i="2" l="1"/>
  <c r="J15" i="2"/>
  <c r="J16" i="2" l="1"/>
  <c r="L15" i="2"/>
  <c r="J17" i="2" l="1"/>
  <c r="L16" i="2"/>
  <c r="J18" i="2" l="1"/>
  <c r="L17" i="2"/>
  <c r="J19" i="2" l="1"/>
  <c r="L18" i="2"/>
  <c r="J20" i="2" l="1"/>
  <c r="L19" i="2"/>
  <c r="J21" i="2" l="1"/>
  <c r="L20" i="2"/>
  <c r="J22" i="2" l="1"/>
  <c r="L21" i="2"/>
  <c r="J23" i="2" l="1"/>
  <c r="L22" i="2"/>
  <c r="J24" i="2" l="1"/>
  <c r="L23" i="2"/>
  <c r="J25" i="2" l="1"/>
  <c r="L24" i="2"/>
  <c r="J26" i="2" l="1"/>
  <c r="L25" i="2"/>
  <c r="J27" i="2" l="1"/>
  <c r="L26" i="2"/>
  <c r="J28" i="2" l="1"/>
  <c r="L27" i="2"/>
  <c r="L28" i="2" l="1"/>
  <c r="J29" i="2"/>
  <c r="J30" i="2" l="1"/>
  <c r="L29" i="2"/>
  <c r="L30" i="2" l="1"/>
  <c r="J31" i="2"/>
  <c r="J32" i="2" l="1"/>
  <c r="L31" i="2"/>
  <c r="L32" i="2" l="1"/>
  <c r="J33" i="2"/>
  <c r="J34" i="2" l="1"/>
  <c r="L33" i="2"/>
  <c r="L34" i="2" l="1"/>
  <c r="J35" i="2"/>
  <c r="L35" i="2" l="1"/>
  <c r="J36" i="2"/>
  <c r="L36" i="2" l="1"/>
  <c r="J37" i="2"/>
  <c r="J38" i="2" l="1"/>
  <c r="L37" i="2"/>
  <c r="L38" i="2" l="1"/>
  <c r="J39" i="2"/>
  <c r="J40" i="2" l="1"/>
  <c r="L39" i="2"/>
  <c r="J41" i="2" l="1"/>
  <c r="L40" i="2"/>
  <c r="J42" i="2" l="1"/>
  <c r="L41" i="2"/>
  <c r="L42" i="2" l="1"/>
  <c r="J43" i="2"/>
  <c r="L43" i="2" l="1"/>
  <c r="J44" i="2"/>
  <c r="L44" i="2" l="1"/>
  <c r="J45" i="2"/>
  <c r="J46" i="2" l="1"/>
  <c r="L45" i="2"/>
  <c r="L46" i="2" l="1"/>
  <c r="J47" i="2"/>
  <c r="J48" i="2" l="1"/>
  <c r="L47" i="2"/>
  <c r="L48" i="2" l="1"/>
  <c r="J49" i="2"/>
  <c r="L49" i="2" l="1"/>
  <c r="J50" i="2"/>
  <c r="L50" i="2" l="1"/>
  <c r="J51" i="2"/>
  <c r="J52" i="2" l="1"/>
  <c r="L51" i="2"/>
  <c r="J53" i="2" l="1"/>
  <c r="L52" i="2"/>
  <c r="J54" i="2" l="1"/>
  <c r="L53" i="2"/>
  <c r="L54" i="2" l="1"/>
  <c r="J55" i="2"/>
  <c r="L55" i="2" l="1"/>
  <c r="J56" i="2"/>
  <c r="L56" i="2" l="1"/>
  <c r="J57" i="2"/>
  <c r="L57" i="2" l="1"/>
  <c r="J58" i="2"/>
  <c r="L58" i="2" l="1"/>
  <c r="J59" i="2"/>
  <c r="L59" i="2" l="1"/>
  <c r="J60" i="2"/>
  <c r="L60" i="2" l="1"/>
  <c r="J61" i="2"/>
  <c r="L61" i="2" l="1"/>
  <c r="J62" i="2"/>
  <c r="L62" i="2" l="1"/>
  <c r="J63" i="2"/>
  <c r="J64" i="2" l="1"/>
  <c r="L63" i="2"/>
  <c r="J65" i="2" l="1"/>
  <c r="L64" i="2"/>
  <c r="J66" i="2" l="1"/>
  <c r="L65" i="2"/>
  <c r="L66" i="2" l="1"/>
  <c r="J67" i="2"/>
  <c r="L67" i="2" l="1"/>
  <c r="J68" i="2"/>
  <c r="L68" i="2" l="1"/>
  <c r="J69" i="2"/>
  <c r="L69" i="2" l="1"/>
  <c r="J70" i="2"/>
  <c r="L70" i="2" l="1"/>
  <c r="J71" i="2"/>
  <c r="L71" i="2" l="1"/>
  <c r="J72" i="2"/>
  <c r="L72" i="2" l="1"/>
  <c r="J73" i="2"/>
  <c r="L73" i="2" l="1"/>
  <c r="J74" i="2"/>
  <c r="L74" i="2" l="1"/>
  <c r="J75" i="2"/>
  <c r="J76" i="2" l="1"/>
  <c r="L75" i="2"/>
  <c r="J77" i="2" l="1"/>
  <c r="L76" i="2"/>
  <c r="J78" i="2" l="1"/>
  <c r="L77" i="2"/>
  <c r="L78" i="2" l="1"/>
  <c r="J79" i="2"/>
  <c r="L79" i="2" l="1"/>
  <c r="J80" i="2"/>
  <c r="L80" i="2" l="1"/>
  <c r="J81" i="2"/>
  <c r="L81" i="2" l="1"/>
  <c r="J82" i="2"/>
  <c r="L82" i="2" l="1"/>
  <c r="J83" i="2"/>
  <c r="L83" i="2" l="1"/>
  <c r="J84" i="2"/>
  <c r="L84" i="2" l="1"/>
  <c r="J85" i="2"/>
  <c r="L85" i="2" l="1"/>
  <c r="J86" i="2"/>
  <c r="L86" i="2" l="1"/>
  <c r="J87" i="2"/>
  <c r="J88" i="2" l="1"/>
  <c r="L87" i="2"/>
  <c r="J89" i="2" l="1"/>
  <c r="L88" i="2"/>
  <c r="J90" i="2" l="1"/>
  <c r="L89" i="2"/>
  <c r="L90" i="2" l="1"/>
  <c r="J91" i="2"/>
  <c r="L91" i="2" l="1"/>
  <c r="J92" i="2"/>
  <c r="L92" i="2" l="1"/>
  <c r="J93" i="2"/>
  <c r="L93" i="2" l="1"/>
  <c r="J94" i="2"/>
  <c r="L94" i="2" l="1"/>
  <c r="J95" i="2"/>
  <c r="L95" i="2" l="1"/>
  <c r="J96" i="2"/>
  <c r="L96" i="2" l="1"/>
  <c r="J97" i="2"/>
  <c r="L97" i="2" l="1"/>
  <c r="J98" i="2"/>
  <c r="L98" i="2" l="1"/>
  <c r="J99" i="2"/>
  <c r="J100" i="2" l="1"/>
  <c r="L99" i="2"/>
  <c r="J101" i="2" l="1"/>
  <c r="L100" i="2"/>
  <c r="J102" i="2" l="1"/>
  <c r="L101" i="2"/>
  <c r="L102" i="2" l="1"/>
  <c r="J103" i="2"/>
  <c r="L103" i="2" l="1"/>
  <c r="J104" i="2"/>
  <c r="L104" i="2" l="1"/>
  <c r="J105" i="2"/>
  <c r="L105" i="2" l="1"/>
  <c r="J106" i="2"/>
  <c r="L106" i="2" l="1"/>
  <c r="J107" i="2"/>
  <c r="L107" i="2" l="1"/>
  <c r="J108" i="2"/>
  <c r="J109" i="2" l="1"/>
  <c r="L108" i="2"/>
  <c r="J110" i="2" l="1"/>
  <c r="L109" i="2"/>
  <c r="J111" i="2" l="1"/>
  <c r="L110" i="2"/>
  <c r="L111" i="2" l="1"/>
  <c r="J112" i="2"/>
  <c r="L112" i="2" l="1"/>
  <c r="J113" i="2"/>
  <c r="L113" i="2" l="1"/>
  <c r="J114" i="2"/>
  <c r="J115" i="2" l="1"/>
  <c r="L114" i="2"/>
  <c r="L115" i="2" l="1"/>
  <c r="J116" i="2"/>
  <c r="L116" i="2" l="1"/>
  <c r="J117" i="2"/>
  <c r="L117" i="2" l="1"/>
  <c r="J118" i="2"/>
  <c r="L118" i="2" l="1"/>
  <c r="J119" i="2"/>
  <c r="L119" i="2" l="1"/>
  <c r="J120" i="2"/>
  <c r="J121" i="2" l="1"/>
  <c r="L120" i="2"/>
  <c r="J122" i="2" l="1"/>
  <c r="L121" i="2"/>
  <c r="J123" i="2" l="1"/>
  <c r="L122" i="2"/>
  <c r="L123" i="2" l="1"/>
  <c r="J124" i="2"/>
  <c r="J125" i="2" l="1"/>
  <c r="L124" i="2"/>
  <c r="L125" i="2" l="1"/>
  <c r="J126" i="2"/>
  <c r="J127" i="2" l="1"/>
  <c r="L126" i="2"/>
  <c r="J128" i="2" l="1"/>
  <c r="L127" i="2"/>
  <c r="L128" i="2" l="1"/>
  <c r="J129" i="2"/>
  <c r="L129" i="2" l="1"/>
  <c r="J130" i="2"/>
  <c r="J131" i="2" l="1"/>
  <c r="L130" i="2"/>
  <c r="L131" i="2" l="1"/>
  <c r="J132" i="2"/>
  <c r="J133" i="2" l="1"/>
  <c r="L132" i="2"/>
  <c r="J134" i="2" l="1"/>
  <c r="L133" i="2"/>
  <c r="J135" i="2" l="1"/>
  <c r="L134" i="2"/>
  <c r="L135" i="2" l="1"/>
  <c r="J136" i="2"/>
  <c r="L136" i="2" l="1"/>
  <c r="J137" i="2"/>
  <c r="L137" i="2" l="1"/>
  <c r="J138" i="2"/>
  <c r="J139" i="2" l="1"/>
  <c r="L138" i="2"/>
  <c r="L139" i="2" l="1"/>
  <c r="J140" i="2"/>
  <c r="L140" i="2" l="1"/>
  <c r="J141" i="2"/>
  <c r="L141" i="2" l="1"/>
  <c r="J142" i="2"/>
  <c r="J143" i="2" l="1"/>
  <c r="L142" i="2"/>
  <c r="J144" i="2" l="1"/>
  <c r="L143" i="2"/>
  <c r="J145" i="2" l="1"/>
  <c r="L144" i="2"/>
  <c r="J146" i="2" l="1"/>
  <c r="L145" i="2"/>
  <c r="J147" i="2" l="1"/>
  <c r="L146" i="2"/>
  <c r="L147" i="2" l="1"/>
  <c r="J148" i="2"/>
  <c r="L148" i="2" l="1"/>
  <c r="J149" i="2"/>
  <c r="L149" i="2" l="1"/>
  <c r="J150" i="2"/>
  <c r="J151" i="2" l="1"/>
  <c r="L150" i="2"/>
  <c r="J152" i="2" l="1"/>
  <c r="L151" i="2"/>
  <c r="L152" i="2" l="1"/>
  <c r="J153" i="2"/>
  <c r="L153" i="2" l="1"/>
  <c r="J154" i="2"/>
  <c r="L154" i="2" l="1"/>
  <c r="J155" i="2"/>
  <c r="L155" i="2" l="1"/>
  <c r="J156" i="2"/>
  <c r="J157" i="2" l="1"/>
  <c r="L156" i="2"/>
  <c r="J158" i="2" l="1"/>
  <c r="L157" i="2"/>
  <c r="J159" i="2" l="1"/>
  <c r="L158" i="2"/>
  <c r="L159" i="2" l="1"/>
  <c r="J160" i="2"/>
  <c r="L160" i="2" l="1"/>
  <c r="J161" i="2"/>
  <c r="L161" i="2" l="1"/>
  <c r="J162" i="2"/>
  <c r="J163" i="2" l="1"/>
  <c r="L162" i="2"/>
  <c r="J164" i="2" l="1"/>
  <c r="L163" i="2"/>
  <c r="L164" i="2" l="1"/>
  <c r="J165" i="2"/>
  <c r="L165" i="2" l="1"/>
  <c r="J166" i="2"/>
  <c r="L166" i="2" l="1"/>
  <c r="J167" i="2"/>
  <c r="J168" i="2" l="1"/>
  <c r="L167" i="2"/>
  <c r="J169" i="2" l="1"/>
  <c r="L168" i="2"/>
  <c r="J170" i="2" l="1"/>
  <c r="L169" i="2"/>
  <c r="J171" i="2" l="1"/>
  <c r="L170" i="2"/>
  <c r="L171" i="2" l="1"/>
  <c r="J172" i="2"/>
  <c r="L172" i="2" l="1"/>
  <c r="J173" i="2"/>
  <c r="L173" i="2" l="1"/>
  <c r="J174" i="2"/>
  <c r="J175" i="2" l="1"/>
  <c r="L174" i="2"/>
  <c r="J176" i="2" l="1"/>
  <c r="L175" i="2"/>
  <c r="L176" i="2" l="1"/>
  <c r="J177" i="2"/>
  <c r="L177" i="2" l="1"/>
  <c r="J178" i="2"/>
  <c r="L178" i="2" l="1"/>
  <c r="J179" i="2"/>
  <c r="L179" i="2" l="1"/>
  <c r="J180" i="2"/>
  <c r="J181" i="2" l="1"/>
  <c r="L180" i="2"/>
  <c r="J182" i="2" l="1"/>
  <c r="L181" i="2"/>
  <c r="J183" i="2" l="1"/>
  <c r="L182" i="2"/>
  <c r="L183" i="2" l="1"/>
  <c r="J184" i="2"/>
  <c r="L184" i="2" l="1"/>
  <c r="J185" i="2"/>
  <c r="L185" i="2" l="1"/>
  <c r="J186" i="2"/>
  <c r="J187" i="2" l="1"/>
  <c r="L186" i="2"/>
  <c r="J188" i="2" l="1"/>
  <c r="L187" i="2"/>
  <c r="L188" i="2" l="1"/>
  <c r="J189" i="2"/>
  <c r="L189" i="2" l="1"/>
  <c r="J190" i="2"/>
  <c r="L190" i="2" l="1"/>
  <c r="J191" i="2"/>
  <c r="L191" i="2" l="1"/>
  <c r="J192" i="2"/>
  <c r="J193" i="2" l="1"/>
  <c r="L192" i="2"/>
  <c r="J194" i="2" l="1"/>
  <c r="L193" i="2"/>
  <c r="J195" i="2" l="1"/>
  <c r="L194" i="2"/>
  <c r="L195" i="2" l="1"/>
  <c r="J196" i="2"/>
  <c r="L196" i="2" l="1"/>
  <c r="J197" i="2"/>
  <c r="L197" i="2" l="1"/>
  <c r="J198" i="2"/>
  <c r="J199" i="2" l="1"/>
  <c r="L198" i="2"/>
  <c r="J200" i="2" l="1"/>
  <c r="L199" i="2"/>
  <c r="L200" i="2" l="1"/>
  <c r="J201" i="2"/>
  <c r="L201" i="2" l="1"/>
  <c r="J202" i="2"/>
  <c r="L202" i="2" l="1"/>
  <c r="J203" i="2"/>
  <c r="L203" i="2" l="1"/>
  <c r="J204" i="2"/>
  <c r="J205" i="2" l="1"/>
  <c r="L204" i="2"/>
  <c r="J206" i="2" l="1"/>
  <c r="L205" i="2"/>
  <c r="J207" i="2" l="1"/>
  <c r="L206" i="2"/>
  <c r="L207" i="2" l="1"/>
  <c r="J208" i="2"/>
  <c r="L208" i="2" l="1"/>
  <c r="J209" i="2"/>
  <c r="L209" i="2" l="1"/>
  <c r="J210" i="2"/>
  <c r="J211" i="2" l="1"/>
  <c r="L210" i="2"/>
  <c r="J212" i="2" l="1"/>
  <c r="L211" i="2"/>
  <c r="L212" i="2" l="1"/>
  <c r="J213" i="2"/>
  <c r="L213" i="2" l="1"/>
  <c r="J214" i="2"/>
  <c r="L214" i="2" l="1"/>
  <c r="J215" i="2"/>
  <c r="L215" i="2" l="1"/>
  <c r="J216" i="2"/>
  <c r="J217" i="2" l="1"/>
  <c r="L216" i="2"/>
  <c r="J218" i="2" l="1"/>
  <c r="L217" i="2"/>
  <c r="J219" i="2" l="1"/>
  <c r="L218" i="2"/>
  <c r="L219" i="2" l="1"/>
  <c r="J220" i="2"/>
  <c r="L220" i="2" l="1"/>
  <c r="J221" i="2"/>
  <c r="L221" i="2" l="1"/>
  <c r="J222" i="2"/>
  <c r="J223" i="2" l="1"/>
  <c r="L222" i="2"/>
  <c r="J224" i="2" l="1"/>
  <c r="L223" i="2"/>
  <c r="L224" i="2" l="1"/>
  <c r="J225" i="2"/>
  <c r="L225" i="2" l="1"/>
  <c r="J226" i="2"/>
  <c r="L226" i="2" l="1"/>
  <c r="J227" i="2"/>
  <c r="L227" i="2" l="1"/>
  <c r="J228" i="2"/>
  <c r="J229" i="2" l="1"/>
  <c r="L228" i="2"/>
  <c r="J230" i="2" l="1"/>
  <c r="L229" i="2"/>
  <c r="J231" i="2" l="1"/>
  <c r="L230" i="2"/>
  <c r="L231" i="2" l="1"/>
  <c r="J232" i="2"/>
  <c r="L232" i="2" l="1"/>
  <c r="J233" i="2"/>
  <c r="L233" i="2" l="1"/>
  <c r="J234" i="2"/>
  <c r="J235" i="2" l="1"/>
  <c r="L234" i="2"/>
  <c r="J236" i="2" l="1"/>
  <c r="L235" i="2"/>
  <c r="L236" i="2" l="1"/>
  <c r="J237" i="2"/>
  <c r="L237" i="2" l="1"/>
  <c r="J238" i="2"/>
  <c r="L238" i="2" l="1"/>
  <c r="J239" i="2"/>
  <c r="L239" i="2" l="1"/>
  <c r="J240" i="2"/>
  <c r="J241" i="2" l="1"/>
  <c r="L240" i="2"/>
  <c r="J242" i="2" l="1"/>
  <c r="L241" i="2"/>
  <c r="J243" i="2" l="1"/>
  <c r="L242" i="2"/>
  <c r="L243" i="2" l="1"/>
  <c r="J244" i="2"/>
  <c r="L244" i="2" l="1"/>
  <c r="J245" i="2"/>
  <c r="C253" i="2" l="1"/>
  <c r="C42" i="1" s="1"/>
  <c r="L245" i="2"/>
  <c r="J246" i="2"/>
  <c r="C251" i="2"/>
  <c r="C252" i="2" l="1"/>
  <c r="C40" i="1" s="1"/>
  <c r="C41" i="1"/>
</calcChain>
</file>

<file path=xl/sharedStrings.xml><?xml version="1.0" encoding="utf-8"?>
<sst xmlns="http://schemas.openxmlformats.org/spreadsheetml/2006/main" count="426" uniqueCount="162">
  <si>
    <t>Preencha as células em AZUL. A planilha calcula o número sugerido e todos os indicadores.</t>
  </si>
  <si>
    <t>① ENTRADA: CONSUMO E DIMENSIONAMENTO</t>
  </si>
  <si>
    <t>Consumo médio de ponta desejado</t>
  </si>
  <si>
    <t>kWh/mês</t>
  </si>
  <si>
    <t>Média mensal de energia a deslocar do HP para HFP</t>
  </si>
  <si>
    <t>⟹  Nº sugerido de BESS (calculado)</t>
  </si>
  <si>
    <t>unidades</t>
  </si>
  <si>
    <t>Arredondamento para cima (energia útil 1 BESS = C12 da aba Premissas)</t>
  </si>
  <si>
    <t>✏️  Nº de BESS adotado (você define)</t>
  </si>
  <si>
    <t>⬅ EDITE AQUI: confirme ou altere o número sugerido acima</t>
  </si>
  <si>
    <t>CAPEX total negociado (todos os BESS)</t>
  </si>
  <si>
    <t>R$</t>
  </si>
  <si>
    <t>Valor total com instalação, frete e comissionamento</t>
  </si>
  <si>
    <t>② PARÂMETROS DO EQUIPAMENTO (vinculados à aba Premissas)</t>
  </si>
  <si>
    <t>Potência nominal</t>
  </si>
  <si>
    <t>kW</t>
  </si>
  <si>
    <t>DoD</t>
  </si>
  <si>
    <t>p.u.</t>
  </si>
  <si>
    <t>η BESS round-trip</t>
  </si>
  <si>
    <t>η Elétrica</t>
  </si>
  <si>
    <t>η Operacional</t>
  </si>
  <si>
    <t>Dias úteis/mês</t>
  </si>
  <si>
    <t>dias</t>
  </si>
  <si>
    <t>Energia útil/ciclo</t>
  </si>
  <si>
    <t>kWh/ciclo</t>
  </si>
  <si>
    <t>Energia útil/mês 1 BESS</t>
  </si>
  <si>
    <t>Energia carga/mês 1 BESS</t>
  </si>
  <si>
    <t>③ ENERGIA CALCULADA COM O Nº DE BESS ADOTADO</t>
  </si>
  <si>
    <t>Energia útil/mês (N BESS)</t>
  </si>
  <si>
    <t>N BESS × energia útil 1 BESS</t>
  </si>
  <si>
    <t>Energia carga/mês (N BESS)</t>
  </si>
  <si>
    <t>N BESS × energia de carga 1 BESS</t>
  </si>
  <si>
    <t>Cobertura do consumo desejado</t>
  </si>
  <si>
    <t>Energia disponível ÷ consumo de ponta médio</t>
  </si>
  <si>
    <t>Receita HP ano 1 (base)</t>
  </si>
  <si>
    <t>Energia útil × tarifa HP × 12 meses</t>
  </si>
  <si>
    <t>Custo HFP ano 1 (base)</t>
  </si>
  <si>
    <t>Energia de carga × tarifa HFP × 12 meses</t>
  </si>
  <si>
    <t>Economia bruta ano 1 (base)</t>
  </si>
  <si>
    <t>Receita HP − Custo HFP (sem degradação)</t>
  </si>
  <si>
    <t>O&amp;M ano 1 (N BESS)</t>
  </si>
  <si>
    <t>N BESS × O&amp;M unitário</t>
  </si>
  <si>
    <t>Economia líquida ano 1 (base)</t>
  </si>
  <si>
    <t>Após O&amp;M, sem degradação ainda</t>
  </si>
  <si>
    <t>④ TARIFAS (vinculadas à aba Premissas)</t>
  </si>
  <si>
    <t>Tarifa HFP total</t>
  </si>
  <si>
    <t>Tarifa HP total</t>
  </si>
  <si>
    <t>Delta HP − HFP</t>
  </si>
  <si>
    <t>Reajuste tarifário anual</t>
  </si>
  <si>
    <t>⑤ INDICADORES FINANCEIROS — RESULTADO FINAL</t>
  </si>
  <si>
    <t>VPL (TMA Premissas)</t>
  </si>
  <si>
    <t>TIR (a.a.)</t>
  </si>
  <si>
    <t>Payback (anos)</t>
  </si>
  <si>
    <t>Payback (meses)</t>
  </si>
  <si>
    <t>Acumulado Ano 20</t>
  </si>
  <si>
    <t>Economia Total 20 anos (líq.)</t>
  </si>
  <si>
    <t>TMA utilizada no VPL: ver Premissas (célula C31)  |  Reajuste O&amp;M: C30  |  Horizonte: 20 anos</t>
  </si>
  <si>
    <t>FLUXO DE CAIXA — MÊS A MÊS — 20 ANOS | N BESS DINÂMICO</t>
  </si>
  <si>
    <t>SOH interpolado mensalmente | Reajuste tarifário anual | Degradação contínua ao longo dos 240 meses</t>
  </si>
  <si>
    <t>Ano</t>
  </si>
  <si>
    <t>Mês</t>
  </si>
  <si>
    <t>SOH
Mês</t>
  </si>
  <si>
    <t>Reajuste
Tarifário</t>
  </si>
  <si>
    <t>Receita HP
(R$)</t>
  </si>
  <si>
    <t>Custo HFP
(R$)</t>
  </si>
  <si>
    <t>O&amp;M
(R$/mês)</t>
  </si>
  <si>
    <t>Eco. Bruta
(R$/mês)</t>
  </si>
  <si>
    <t>Eco. Líq.
(R$/mês)</t>
  </si>
  <si>
    <t>Acumulado
(R$)</t>
  </si>
  <si>
    <t>Eco. Acum.
(sem CAPEX)</t>
  </si>
  <si>
    <t>Ref. Ponto
Equilíbrio</t>
  </si>
  <si>
    <t>0</t>
  </si>
  <si>
    <t>Invest.</t>
  </si>
  <si>
    <t>Jan</t>
  </si>
  <si>
    <t>""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</si>
  <si>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</si>
  <si>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</si>
  <si>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</si>
  <si>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</si>
  <si>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</si>
  <si>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</si>
  <si>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</si>
  <si>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</si>
  <si>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</si>
  <si>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</si>
  <si>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</si>
  <si>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TOT</t>
  </si>
  <si>
    <t>20 anos</t>
  </si>
  <si>
    <t>INDICADORES FINANCEIROS — AUTOMÁTICOS</t>
  </si>
  <si>
    <t>VPL (TMA)</t>
  </si>
  <si>
    <t>TIR</t>
  </si>
  <si>
    <t>Eco. Líq. Total</t>
  </si>
  <si>
    <t>PREMISSAS — BESS LOAD SHIFTING</t>
  </si>
  <si>
    <t>Azul = input editável | Verde = calculado | Vinculado ao Dimensionador</t>
  </si>
  <si>
    <t>EQUIPAMENTO BESS</t>
  </si>
  <si>
    <t>VALOR</t>
  </si>
  <si>
    <t>UNIDADE</t>
  </si>
  <si>
    <t>Potência BESS</t>
  </si>
  <si>
    <t>Energia útil/ciclo [calc]</t>
  </si>
  <si>
    <t>kWh</t>
  </si>
  <si>
    <t>Energia útil/mês 1 BESS [calc]</t>
  </si>
  <si>
    <t>Energia carga/mês 1 BESS [calc]</t>
  </si>
  <si>
    <t>TARIFAS — MERCADO LIVRE</t>
  </si>
  <si>
    <t>TUSD Fora Ponta</t>
  </si>
  <si>
    <t>R$/kWh</t>
  </si>
  <si>
    <t>TE Fora Ponta ML</t>
  </si>
  <si>
    <t>TUSD Na Ponta</t>
  </si>
  <si>
    <t>TE Na Ponta ML</t>
  </si>
  <si>
    <t>HFP Total [calc]</t>
  </si>
  <si>
    <t>HP Total [calc]</t>
  </si>
  <si>
    <t>Delta HP-HFP [calc]</t>
  </si>
  <si>
    <t>PARÂMETROS FINANCEIROS</t>
  </si>
  <si>
    <t>O&amp;M por BESS/ano</t>
  </si>
  <si>
    <t>R$/ano</t>
  </si>
  <si>
    <t>Reajuste energia</t>
  </si>
  <si>
    <t>% a.a.</t>
  </si>
  <si>
    <t>Reajuste O&amp;M</t>
  </si>
  <si>
    <t>TMA</t>
  </si>
  <si>
    <t>CURVA SOH HUAWEI (1 ciclo/dia, DoD 100%)</t>
  </si>
  <si>
    <t>SOH</t>
  </si>
  <si>
    <t>Ano 0</t>
  </si>
  <si>
    <t>Ano 1</t>
  </si>
  <si>
    <t>1</t>
  </si>
  <si>
    <t>Ano 2</t>
  </si>
  <si>
    <t>2</t>
  </si>
  <si>
    <t>Ano 3</t>
  </si>
  <si>
    <t>3</t>
  </si>
  <si>
    <t>Ano 4</t>
  </si>
  <si>
    <t>4</t>
  </si>
  <si>
    <t>Ano 5</t>
  </si>
  <si>
    <t>5</t>
  </si>
  <si>
    <t>Ano 6</t>
  </si>
  <si>
    <t>6</t>
  </si>
  <si>
    <t>Ano 7</t>
  </si>
  <si>
    <t>7</t>
  </si>
  <si>
    <t>Ano 8</t>
  </si>
  <si>
    <t>8</t>
  </si>
  <si>
    <t>Ano 9</t>
  </si>
  <si>
    <t>9</t>
  </si>
  <si>
    <t>Ano 10</t>
  </si>
  <si>
    <t>10</t>
  </si>
  <si>
    <t>Ano 11</t>
  </si>
  <si>
    <t>11</t>
  </si>
  <si>
    <t>Ano 12</t>
  </si>
  <si>
    <t>12</t>
  </si>
  <si>
    <t>Ano 13</t>
  </si>
  <si>
    <t>13</t>
  </si>
  <si>
    <t>Ano 14</t>
  </si>
  <si>
    <t>14</t>
  </si>
  <si>
    <t>Ano 15</t>
  </si>
  <si>
    <t>15</t>
  </si>
  <si>
    <t>Ano 16</t>
  </si>
  <si>
    <t>16</t>
  </si>
  <si>
    <t>Ano 17</t>
  </si>
  <si>
    <t>17</t>
  </si>
  <si>
    <t>Ano 18</t>
  </si>
  <si>
    <t>18</t>
  </si>
  <si>
    <t>Ano 19</t>
  </si>
  <si>
    <t>19</t>
  </si>
  <si>
    <t>Ano 20</t>
  </si>
  <si>
    <t>20</t>
  </si>
  <si>
    <t>DIMENSIONADOR DE BESS | SECRETARIA DE INFRA ESTRUTURA | LOAD SHIFTING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</si>
</sst>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#,##0.00&quot; kWh/mês&quot;"/>
    <numFmt numFmtId="165" formatCode="0&quot; unidades&quot;"/>
    <numFmt numFmtId="166" formatCode="&quot;R$&quot;#,##0.00"/>
    <numFmt numFmtId="167" formatCode="0&quot; kW&quot;"/>
    <numFmt numFmtId="168" formatCode="0&quot; dias&quot;"/>
    <numFmt numFmtId="169" formatCode="#,##0.00&quot; kWh&quot;"/>
    <numFmt numFmtId="170" formatCode="0.0%"/>
    <numFmt numFmtId="171" formatCode="&quot;R$&quot;#,##0.000000&quot; /kWh&quot;"/>
    <numFmt numFmtId="172" formatCode="0.00%&quot; a.a.&quot;"/>
    <numFmt numFmtId="173" formatCode="&quot;R$&quot;#,##0"/>
    <numFmt numFmtId="174" formatCode="0.00&quot; anos&quot;"/>
    <numFmt numFmtId="175" formatCode="0.0&quot; meses&quot;"/>
    <numFmt numFmtId="176" formatCode="0.0000"/>
    <numFmt numFmtId="177" formatCode="0.000"/>
    <numFmt numFmtId="178" formatCode="0.0%&quot; a.a.&quot;"/>
    <numFmt numFmtId="179" formatCode="&quot;R$&quot;#,##0.000000"/>
    <numFmt numFmtId="180" formatCode="0.00000"/>
    <numFmt numFmtId="181" formatCode="&quot;R$&quot;\ #,##0.000000"/>
  </numFmts>
  <fonts count="30" x14ac:knownFonts="1">
    <font>
      <sz val="11"/>
      <color theme="1"/>
      <name val="Calibri"/>
      <family val="2"/>
      <charset val="1"/>
    </font>
    <font>
      <b/>
      <sz val="14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1F3864"/>
      <name val="Calibri"/>
      <charset val="1"/>
    </font>
    <font>
      <sz val="10"/>
      <color rgb="FF000000"/>
      <name val="Calibri"/>
      <charset val="1"/>
    </font>
    <font>
      <b/>
      <sz val="11"/>
      <color rgb="FF0000CD"/>
      <name val="Calibri"/>
      <charset val="1"/>
    </font>
    <font>
      <i/>
      <sz val="8"/>
      <color rgb="FF888888"/>
      <name val="Calibri"/>
      <charset val="1"/>
    </font>
    <font>
      <b/>
      <sz val="11"/>
      <color rgb="FF006100"/>
      <name val="Calibri"/>
      <charset val="1"/>
    </font>
    <font>
      <i/>
      <sz val="8"/>
      <color rgb="FF1F3864"/>
      <name val="Calibri"/>
      <charset val="1"/>
    </font>
    <font>
      <b/>
      <sz val="10"/>
      <color rgb="FFED7D31"/>
      <name val="Calibri"/>
      <charset val="1"/>
    </font>
    <font>
      <b/>
      <sz val="13"/>
      <color rgb="FF7B3F00"/>
      <name val="Calibri"/>
      <charset val="1"/>
    </font>
    <font>
      <b/>
      <i/>
      <sz val="9"/>
      <color rgb="FFED7D31"/>
      <name val="Calibri"/>
      <charset val="1"/>
    </font>
    <font>
      <sz val="10"/>
      <color rgb="FF006100"/>
      <name val="Calibri"/>
      <charset val="1"/>
    </font>
    <font>
      <b/>
      <sz val="10"/>
      <color rgb="FF006100"/>
      <name val="Calibri"/>
      <charset val="1"/>
    </font>
    <font>
      <b/>
      <sz val="12"/>
      <color rgb="FF006100"/>
      <name val="Calibri"/>
      <charset val="1"/>
    </font>
    <font>
      <b/>
      <sz val="12"/>
      <color rgb="FF1F3864"/>
      <name val="Calibri"/>
      <charset val="1"/>
    </font>
    <font>
      <b/>
      <sz val="13"/>
      <color rgb="FFFFFFFF"/>
      <name val="Calibri"/>
      <charset val="1"/>
    </font>
    <font>
      <b/>
      <sz val="8"/>
      <color rgb="FFFFFFFF"/>
      <name val="Calibri"/>
      <charset val="1"/>
    </font>
    <font>
      <b/>
      <sz val="9"/>
      <color rgb="FF8B0000"/>
      <name val="Calibri"/>
      <charset val="1"/>
    </font>
    <font>
      <b/>
      <sz val="8"/>
      <color rgb="FF1F3864"/>
      <name val="Calibri"/>
      <charset val="1"/>
    </font>
    <font>
      <sz val="8"/>
      <color rgb="FF444444"/>
      <name val="Calibri"/>
      <charset val="1"/>
    </font>
    <font>
      <sz val="9"/>
      <color rgb="FF000000"/>
      <name val="Calibri"/>
      <charset val="1"/>
    </font>
    <font>
      <sz val="8"/>
      <color rgb="FF000000"/>
      <name val="Calibri"/>
      <charset val="1"/>
    </font>
    <font>
      <sz val="8"/>
      <color rgb="FF006100"/>
      <name val="Calibri"/>
      <charset val="1"/>
    </font>
    <font>
      <b/>
      <sz val="8"/>
      <color rgb="FF006100"/>
      <name val="Calibri"/>
      <charset val="1"/>
    </font>
    <font>
      <sz val="8"/>
      <color rgb="FF1F3864"/>
      <name val="Calibri"/>
      <charset val="1"/>
    </font>
    <font>
      <b/>
      <sz val="8"/>
      <color rgb="FF000000"/>
      <name val="Calibri"/>
      <charset val="1"/>
    </font>
    <font>
      <b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444444"/>
      <name val="Calibri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CCCCCC"/>
      </patternFill>
    </fill>
    <fill>
      <patternFill patternType="solid">
        <fgColor rgb="FFF2F2F2"/>
        <bgColor rgb="FFEBF3FB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FC000"/>
        <bgColor rgb="FFFFCC00"/>
      </patternFill>
    </fill>
    <fill>
      <patternFill patternType="solid">
        <fgColor rgb="FF70AD47"/>
        <bgColor rgb="FF888888"/>
      </patternFill>
    </fill>
    <fill>
      <patternFill patternType="solid">
        <fgColor rgb="FFED7D31"/>
        <bgColor rgb="FFFF8080"/>
      </patternFill>
    </fill>
    <fill>
      <patternFill patternType="solid">
        <fgColor rgb="FFFFCC00"/>
        <bgColor rgb="FFFFC000"/>
      </patternFill>
    </fill>
    <fill>
      <patternFill patternType="solid">
        <fgColor rgb="FFEBF3FB"/>
        <bgColor rgb="FFF2F2F2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174" fontId="14" fillId="7" borderId="1" xfId="0" applyNumberFormat="1" applyFont="1" applyFill="1" applyBorder="1" applyAlignment="1">
      <alignment horizontal="right" vertical="center"/>
    </xf>
    <xf numFmtId="175" fontId="14" fillId="7" borderId="1" xfId="0" applyNumberFormat="1" applyFont="1" applyFill="1" applyBorder="1" applyAlignment="1">
      <alignment horizontal="right" vertical="center"/>
    </xf>
    <xf numFmtId="173" fontId="14" fillId="7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164" fontId="5" fillId="6" borderId="2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lef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8" fillId="7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9" fillId="8" borderId="1" xfId="0" applyFont="1" applyFill="1" applyBorder="1" applyAlignment="1">
      <alignment horizontal="left" vertical="center"/>
    </xf>
    <xf numFmtId="165" fontId="10" fillId="9" borderId="3" xfId="0" applyNumberFormat="1" applyFont="1" applyFill="1" applyBorder="1" applyAlignment="1">
      <alignment horizontal="right" vertical="center"/>
    </xf>
    <xf numFmtId="0" fontId="11" fillId="8" borderId="1" xfId="0" applyFont="1" applyFill="1" applyBorder="1" applyAlignment="1">
      <alignment horizontal="left" vertical="center"/>
    </xf>
    <xf numFmtId="166" fontId="5" fillId="6" borderId="2" xfId="0" applyNumberFormat="1" applyFont="1" applyFill="1" applyBorder="1" applyAlignment="1">
      <alignment horizontal="right" vertical="center"/>
    </xf>
    <xf numFmtId="167" fontId="12" fillId="7" borderId="1" xfId="0" applyNumberFormat="1" applyFont="1" applyFill="1" applyBorder="1" applyAlignment="1">
      <alignment horizontal="right" vertical="center"/>
    </xf>
    <xf numFmtId="10" fontId="12" fillId="7" borderId="1" xfId="0" applyNumberFormat="1" applyFont="1" applyFill="1" applyBorder="1" applyAlignment="1">
      <alignment horizontal="right" vertical="center"/>
    </xf>
    <xf numFmtId="168" fontId="12" fillId="7" borderId="1" xfId="0" applyNumberFormat="1" applyFont="1" applyFill="1" applyBorder="1" applyAlignment="1">
      <alignment horizontal="right" vertical="center"/>
    </xf>
    <xf numFmtId="169" fontId="12" fillId="7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170" fontId="13" fillId="7" borderId="1" xfId="0" applyNumberFormat="1" applyFont="1" applyFill="1" applyBorder="1" applyAlignment="1">
      <alignment horizontal="right" vertical="center"/>
    </xf>
    <xf numFmtId="166" fontId="4" fillId="6" borderId="1" xfId="0" applyNumberFormat="1" applyFont="1" applyFill="1" applyBorder="1" applyAlignment="1">
      <alignment horizontal="right" vertical="center"/>
    </xf>
    <xf numFmtId="166" fontId="13" fillId="7" borderId="1" xfId="0" applyNumberFormat="1" applyFont="1" applyFill="1" applyBorder="1" applyAlignment="1">
      <alignment horizontal="right" vertical="center"/>
    </xf>
    <xf numFmtId="171" fontId="12" fillId="7" borderId="1" xfId="0" applyNumberFormat="1" applyFont="1" applyFill="1" applyBorder="1" applyAlignment="1">
      <alignment horizontal="right" vertical="center"/>
    </xf>
    <xf numFmtId="172" fontId="12" fillId="7" borderId="1" xfId="0" applyNumberFormat="1" applyFont="1" applyFill="1" applyBorder="1" applyAlignment="1">
      <alignment horizontal="right" vertical="center"/>
    </xf>
    <xf numFmtId="170" fontId="14" fillId="7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73" fontId="15" fillId="4" borderId="1" xfId="0" applyNumberFormat="1" applyFont="1" applyFill="1" applyBorder="1" applyAlignment="1">
      <alignment horizontal="right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/>
    </xf>
    <xf numFmtId="0" fontId="0" fillId="12" borderId="1" xfId="0" applyFill="1" applyBorder="1"/>
    <xf numFmtId="173" fontId="18" fillId="12" borderId="1" xfId="0" applyNumberFormat="1" applyFont="1" applyFill="1" applyBorder="1" applyAlignment="1">
      <alignment horizontal="right" vertical="center"/>
    </xf>
    <xf numFmtId="0" fontId="19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176" fontId="20" fillId="6" borderId="1" xfId="0" applyNumberFormat="1" applyFont="1" applyFill="1" applyBorder="1" applyAlignment="1">
      <alignment horizontal="right" vertical="center"/>
    </xf>
    <xf numFmtId="177" fontId="20" fillId="6" borderId="1" xfId="0" applyNumberFormat="1" applyFont="1" applyFill="1" applyBorder="1" applyAlignment="1">
      <alignment horizontal="right" vertical="center"/>
    </xf>
    <xf numFmtId="173" fontId="21" fillId="6" borderId="1" xfId="0" applyNumberFormat="1" applyFont="1" applyFill="1" applyBorder="1" applyAlignment="1">
      <alignment horizontal="right" vertical="center"/>
    </xf>
    <xf numFmtId="173" fontId="22" fillId="6" borderId="1" xfId="0" applyNumberFormat="1" applyFont="1" applyFill="1" applyBorder="1" applyAlignment="1">
      <alignment horizontal="right" vertical="center"/>
    </xf>
    <xf numFmtId="173" fontId="23" fillId="6" borderId="1" xfId="0" applyNumberFormat="1" applyFont="1" applyFill="1" applyBorder="1" applyAlignment="1">
      <alignment horizontal="right" vertical="center"/>
    </xf>
    <xf numFmtId="0" fontId="24" fillId="6" borderId="1" xfId="0" applyFont="1" applyFill="1" applyBorder="1" applyAlignment="1">
      <alignment horizontal="center" vertical="center"/>
    </xf>
    <xf numFmtId="173" fontId="0" fillId="0" borderId="0" xfId="0" applyNumberFormat="1"/>
    <xf numFmtId="0" fontId="25" fillId="6" borderId="1" xfId="0" applyFont="1" applyFill="1" applyBorder="1" applyAlignment="1">
      <alignment horizontal="center" vertical="center"/>
    </xf>
    <xf numFmtId="0" fontId="25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176" fontId="20" fillId="13" borderId="1" xfId="0" applyNumberFormat="1" applyFont="1" applyFill="1" applyBorder="1" applyAlignment="1">
      <alignment horizontal="right" vertical="center"/>
    </xf>
    <xf numFmtId="177" fontId="20" fillId="13" borderId="1" xfId="0" applyNumberFormat="1" applyFont="1" applyFill="1" applyBorder="1" applyAlignment="1">
      <alignment horizontal="right" vertical="center"/>
    </xf>
    <xf numFmtId="173" fontId="21" fillId="13" borderId="1" xfId="0" applyNumberFormat="1" applyFont="1" applyFill="1" applyBorder="1" applyAlignment="1">
      <alignment horizontal="right" vertical="center"/>
    </xf>
    <xf numFmtId="173" fontId="26" fillId="13" borderId="1" xfId="0" applyNumberFormat="1" applyFont="1" applyFill="1" applyBorder="1" applyAlignment="1">
      <alignment horizontal="right" vertical="center"/>
    </xf>
    <xf numFmtId="173" fontId="23" fillId="13" borderId="1" xfId="0" applyNumberFormat="1" applyFont="1" applyFill="1" applyBorder="1" applyAlignment="1">
      <alignment horizontal="right" vertical="center"/>
    </xf>
    <xf numFmtId="0" fontId="24" fillId="13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76" fontId="20" fillId="5" borderId="1" xfId="0" applyNumberFormat="1" applyFont="1" applyFill="1" applyBorder="1" applyAlignment="1">
      <alignment horizontal="right" vertical="center"/>
    </xf>
    <xf numFmtId="177" fontId="20" fillId="5" borderId="1" xfId="0" applyNumberFormat="1" applyFont="1" applyFill="1" applyBorder="1" applyAlignment="1">
      <alignment horizontal="right" vertical="center"/>
    </xf>
    <xf numFmtId="173" fontId="21" fillId="5" borderId="1" xfId="0" applyNumberFormat="1" applyFont="1" applyFill="1" applyBorder="1" applyAlignment="1">
      <alignment horizontal="right" vertical="center"/>
    </xf>
    <xf numFmtId="173" fontId="22" fillId="5" borderId="1" xfId="0" applyNumberFormat="1" applyFont="1" applyFill="1" applyBorder="1" applyAlignment="1">
      <alignment horizontal="right" vertical="center"/>
    </xf>
    <xf numFmtId="173" fontId="23" fillId="5" borderId="1" xfId="0" applyNumberFormat="1" applyFont="1" applyFill="1" applyBorder="1" applyAlignment="1">
      <alignment horizontal="right" vertical="center"/>
    </xf>
    <xf numFmtId="0" fontId="24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25" fillId="4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76" fontId="20" fillId="4" borderId="1" xfId="0" applyNumberFormat="1" applyFont="1" applyFill="1" applyBorder="1" applyAlignment="1">
      <alignment horizontal="right" vertical="center"/>
    </xf>
    <xf numFmtId="177" fontId="20" fillId="4" borderId="1" xfId="0" applyNumberFormat="1" applyFont="1" applyFill="1" applyBorder="1" applyAlignment="1">
      <alignment horizontal="right" vertical="center"/>
    </xf>
    <xf numFmtId="173" fontId="21" fillId="4" borderId="1" xfId="0" applyNumberFormat="1" applyFont="1" applyFill="1" applyBorder="1" applyAlignment="1">
      <alignment horizontal="right" vertical="center"/>
    </xf>
    <xf numFmtId="173" fontId="26" fillId="4" borderId="1" xfId="0" applyNumberFormat="1" applyFont="1" applyFill="1" applyBorder="1" applyAlignment="1">
      <alignment horizontal="right" vertical="center"/>
    </xf>
    <xf numFmtId="173" fontId="23" fillId="4" borderId="1" xfId="0" applyNumberFormat="1" applyFont="1" applyFill="1" applyBorder="1" applyAlignment="1">
      <alignment horizontal="right" vertical="center"/>
    </xf>
    <xf numFmtId="0" fontId="24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173" fontId="2" fillId="2" borderId="1" xfId="0" applyNumberFormat="1" applyFont="1" applyFill="1" applyBorder="1" applyAlignment="1">
      <alignment horizontal="right" vertical="center"/>
    </xf>
    <xf numFmtId="0" fontId="28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8" fillId="2" borderId="1" xfId="0" applyFont="1" applyFill="1" applyBorder="1" applyAlignment="1">
      <alignment horizontal="center" vertical="center"/>
    </xf>
    <xf numFmtId="1" fontId="5" fillId="6" borderId="2" xfId="0" applyNumberFormat="1" applyFont="1" applyFill="1" applyBorder="1" applyAlignment="1">
      <alignment horizontal="right" vertical="center"/>
    </xf>
    <xf numFmtId="176" fontId="5" fillId="6" borderId="2" xfId="0" applyNumberFormat="1" applyFont="1" applyFill="1" applyBorder="1" applyAlignment="1">
      <alignment horizontal="right" vertical="center"/>
    </xf>
    <xf numFmtId="4" fontId="13" fillId="7" borderId="1" xfId="0" applyNumberFormat="1" applyFont="1" applyFill="1" applyBorder="1" applyAlignment="1">
      <alignment horizontal="right" vertical="center"/>
    </xf>
    <xf numFmtId="179" fontId="5" fillId="6" borderId="2" xfId="0" applyNumberFormat="1" applyFont="1" applyFill="1" applyBorder="1" applyAlignment="1">
      <alignment horizontal="right" vertical="center"/>
    </xf>
    <xf numFmtId="179" fontId="13" fillId="7" borderId="1" xfId="0" applyNumberFormat="1" applyFont="1" applyFill="1" applyBorder="1" applyAlignment="1">
      <alignment horizontal="right" vertical="center"/>
    </xf>
    <xf numFmtId="10" fontId="5" fillId="6" borderId="2" xfId="0" applyNumberFormat="1" applyFont="1" applyFill="1" applyBorder="1" applyAlignment="1">
      <alignment horizontal="right" vertical="center"/>
    </xf>
    <xf numFmtId="180" fontId="5" fillId="6" borderId="2" xfId="0" applyNumberFormat="1" applyFont="1" applyFill="1" applyBorder="1" applyAlignment="1">
      <alignment horizontal="right" vertical="center"/>
    </xf>
    <xf numFmtId="0" fontId="29" fillId="6" borderId="1" xfId="0" applyFont="1" applyFill="1" applyBorder="1" applyAlignment="1">
      <alignment horizontal="center" vertical="center"/>
    </xf>
    <xf numFmtId="10" fontId="0" fillId="0" borderId="0" xfId="0" applyNumberFormat="1"/>
    <xf numFmtId="181" fontId="0" fillId="0" borderId="0" xfId="0" applyNumberFormat="1"/>
    <xf numFmtId="0" fontId="3" fillId="4" borderId="1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5" fontId="14" fillId="7" borderId="1" xfId="0" applyNumberFormat="1" applyFont="1" applyFill="1" applyBorder="1" applyAlignment="1">
      <alignment horizontal="right" vertical="center"/>
    </xf>
    <xf numFmtId="174" fontId="14" fillId="7" borderId="1" xfId="0" applyNumberFormat="1" applyFont="1" applyFill="1" applyBorder="1" applyAlignment="1">
      <alignment horizontal="right" vertical="center"/>
    </xf>
    <xf numFmtId="173" fontId="14" fillId="7" borderId="1" xfId="0" applyNumberFormat="1" applyFont="1" applyFill="1" applyBorder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27" fillId="3" borderId="0" xfId="0" applyFont="1" applyFill="1" applyAlignment="1">
      <alignment horizontal="center" vertical="center"/>
    </xf>
    <xf numFmtId="178" fontId="14" fillId="7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D"/>
      <rgbColor rgb="FFFFFF00"/>
      <rgbColor rgb="FFFF00FF"/>
      <rgbColor rgb="FF00FFFF"/>
      <rgbColor rgb="FF8B0000"/>
      <rgbColor rgb="FF0061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2F2F2"/>
      <rgbColor rgb="FFEBF3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C000"/>
      <rgbColor rgb="FFED7D31"/>
      <rgbColor rgb="FF666699"/>
      <rgbColor rgb="FF70AD47"/>
      <rgbColor rgb="FF1F3864"/>
      <rgbColor rgb="FF339966"/>
      <rgbColor rgb="FF003300"/>
      <rgbColor rgb="FF333300"/>
      <rgbColor rgb="FF7B3F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45"/>
  <sheetViews>
    <sheetView showGridLines="0" zoomScaleNormal="100" workbookViewId="0">
      <selection sqref="A1:F1"/>
    </sheetView>
  </sheetViews>
  <sheetFormatPr defaultColWidth="8.6328125" defaultRowHeight="14.5" x14ac:dyDescent="0.35"/>
  <cols>
    <col min="1" max="1" width="3" customWidth="1"/>
    <col min="2" max="2" width="36" customWidth="1"/>
    <col min="3" max="3" width="18" customWidth="1"/>
    <col min="4" max="4" width="14" customWidth="1"/>
    <col min="5" max="5" width="22" customWidth="1"/>
    <col min="6" max="6" width="3" customWidth="1"/>
  </cols>
  <sheetData>
    <row r="1" spans="1:6" ht="24" customHeight="1" x14ac:dyDescent="0.35">
      <c r="A1" s="92" t="s">
        <v>161</v>
      </c>
      <c r="B1" s="92"/>
      <c r="C1" s="92"/>
      <c r="D1" s="92"/>
      <c r="E1" s="92"/>
      <c r="F1" s="92"/>
    </row>
    <row r="2" spans="1:6" ht="18" customHeight="1" x14ac:dyDescent="0.35">
      <c r="A2" s="93" t="s">
        <v>0</v>
      </c>
      <c r="B2" s="93"/>
      <c r="C2" s="93"/>
      <c r="D2" s="93"/>
      <c r="E2" s="93"/>
      <c r="F2" s="93"/>
    </row>
    <row r="4" spans="1:6" ht="19.5" customHeight="1" x14ac:dyDescent="0.35">
      <c r="A4" s="90" t="s">
        <v>1</v>
      </c>
      <c r="B4" s="90"/>
      <c r="C4" s="90"/>
      <c r="D4" s="90"/>
      <c r="E4" s="90"/>
    </row>
    <row r="5" spans="1:6" ht="19.5" customHeight="1" x14ac:dyDescent="0.35">
      <c r="A5" s="5"/>
      <c r="B5" s="5" t="s">
        <v>2</v>
      </c>
      <c r="C5" s="6">
        <v>2350</v>
      </c>
      <c r="D5" s="7" t="s">
        <v>3</v>
      </c>
      <c r="E5" s="8" t="s">
        <v>4</v>
      </c>
    </row>
    <row r="6" spans="1:6" ht="21.75" customHeight="1" x14ac:dyDescent="0.35">
      <c r="A6" s="9"/>
      <c r="B6" s="10" t="s">
        <v>5</v>
      </c>
      <c r="C6" s="11">
        <f>CEILING(C5/(Premissas!$C$12),1)</f>
        <v>1</v>
      </c>
      <c r="D6" s="9" t="s">
        <v>6</v>
      </c>
      <c r="E6" s="12" t="s">
        <v>7</v>
      </c>
    </row>
    <row r="7" spans="1:6" ht="21.75" customHeight="1" x14ac:dyDescent="0.35">
      <c r="A7" s="13"/>
      <c r="B7" s="14" t="s">
        <v>8</v>
      </c>
      <c r="C7" s="15">
        <v>1</v>
      </c>
      <c r="D7" s="13" t="s">
        <v>6</v>
      </c>
      <c r="E7" s="16" t="s">
        <v>9</v>
      </c>
    </row>
    <row r="8" spans="1:6" ht="19.5" customHeight="1" x14ac:dyDescent="0.35">
      <c r="A8" s="5"/>
      <c r="B8" s="5" t="s">
        <v>10</v>
      </c>
      <c r="C8" s="17">
        <v>520000</v>
      </c>
      <c r="D8" s="7" t="s">
        <v>11</v>
      </c>
      <c r="E8" s="8" t="s">
        <v>12</v>
      </c>
    </row>
    <row r="10" spans="1:6" ht="18" customHeight="1" x14ac:dyDescent="0.35">
      <c r="A10" s="90" t="s">
        <v>13</v>
      </c>
      <c r="B10" s="90"/>
      <c r="C10" s="90"/>
      <c r="D10" s="90"/>
      <c r="E10" s="90"/>
    </row>
    <row r="11" spans="1:6" ht="15.75" customHeight="1" x14ac:dyDescent="0.35">
      <c r="A11" s="5"/>
      <c r="B11" s="5" t="s">
        <v>14</v>
      </c>
      <c r="C11" s="18">
        <f>Premissas!C5</f>
        <v>241</v>
      </c>
      <c r="D11" s="7" t="s">
        <v>15</v>
      </c>
    </row>
    <row r="12" spans="1:6" ht="15.75" customHeight="1" x14ac:dyDescent="0.35">
      <c r="A12" s="5"/>
      <c r="B12" s="5" t="s">
        <v>16</v>
      </c>
      <c r="C12" s="19">
        <f>Premissas!C6</f>
        <v>1</v>
      </c>
      <c r="D12" s="7" t="s">
        <v>17</v>
      </c>
    </row>
    <row r="13" spans="1:6" ht="15.75" customHeight="1" x14ac:dyDescent="0.35">
      <c r="A13" s="5"/>
      <c r="B13" s="5" t="s">
        <v>18</v>
      </c>
      <c r="C13" s="19">
        <f>Premissas!C7</f>
        <v>0.9556</v>
      </c>
      <c r="D13" s="7" t="s">
        <v>17</v>
      </c>
    </row>
    <row r="14" spans="1:6" ht="15.75" customHeight="1" x14ac:dyDescent="0.35">
      <c r="A14" s="5"/>
      <c r="B14" s="5" t="s">
        <v>19</v>
      </c>
      <c r="C14" s="19">
        <f>Premissas!C8</f>
        <v>0.98</v>
      </c>
      <c r="D14" s="7" t="s">
        <v>17</v>
      </c>
    </row>
    <row r="15" spans="1:6" ht="15.75" customHeight="1" x14ac:dyDescent="0.35">
      <c r="A15" s="5"/>
      <c r="B15" s="5" t="s">
        <v>20</v>
      </c>
      <c r="C15" s="19">
        <f>Premissas!C9</f>
        <v>0.99</v>
      </c>
      <c r="D15" s="7" t="s">
        <v>17</v>
      </c>
    </row>
    <row r="16" spans="1:6" ht="15.75" customHeight="1" x14ac:dyDescent="0.35">
      <c r="A16" s="5"/>
      <c r="B16" s="5" t="s">
        <v>21</v>
      </c>
      <c r="C16" s="20">
        <f>Premissas!C10</f>
        <v>21</v>
      </c>
      <c r="D16" s="7" t="s">
        <v>22</v>
      </c>
    </row>
    <row r="17" spans="1:5" ht="15.75" customHeight="1" x14ac:dyDescent="0.35">
      <c r="A17" s="5"/>
      <c r="B17" s="5" t="s">
        <v>23</v>
      </c>
      <c r="C17" s="21">
        <f>Premissas!C11</f>
        <v>223.43667191999998</v>
      </c>
      <c r="D17" s="7" t="s">
        <v>24</v>
      </c>
    </row>
    <row r="18" spans="1:5" ht="15.75" customHeight="1" x14ac:dyDescent="0.35">
      <c r="A18" s="5"/>
      <c r="B18" s="5" t="s">
        <v>25</v>
      </c>
      <c r="C18" s="21">
        <f>Premissas!C12</f>
        <v>4692.1701103199994</v>
      </c>
      <c r="D18" s="7" t="s">
        <v>3</v>
      </c>
    </row>
    <row r="19" spans="1:5" ht="15.75" customHeight="1" x14ac:dyDescent="0.35">
      <c r="A19" s="5"/>
      <c r="B19" s="5" t="s">
        <v>26</v>
      </c>
      <c r="C19" s="21">
        <f>Premissas!C13</f>
        <v>5458.821909219565</v>
      </c>
      <c r="D19" s="7" t="s">
        <v>3</v>
      </c>
    </row>
    <row r="21" spans="1:5" ht="18" customHeight="1" x14ac:dyDescent="0.35">
      <c r="A21" s="90" t="s">
        <v>27</v>
      </c>
      <c r="B21" s="90"/>
      <c r="C21" s="90"/>
      <c r="D21" s="90"/>
      <c r="E21" s="90"/>
    </row>
    <row r="22" spans="1:5" ht="16.5" customHeight="1" x14ac:dyDescent="0.35">
      <c r="A22" s="5"/>
      <c r="B22" s="7" t="s">
        <v>28</v>
      </c>
      <c r="C22" s="22">
        <f>$C$7*Premissas!$C$12</f>
        <v>4692.1701103199994</v>
      </c>
      <c r="D22" s="7"/>
      <c r="E22" s="8" t="s">
        <v>29</v>
      </c>
    </row>
    <row r="23" spans="1:5" ht="16.5" customHeight="1" x14ac:dyDescent="0.35">
      <c r="A23" s="5"/>
      <c r="B23" s="7" t="s">
        <v>30</v>
      </c>
      <c r="C23" s="22">
        <f>$C$7*Premissas!$C$13</f>
        <v>5458.821909219565</v>
      </c>
      <c r="D23" s="7"/>
      <c r="E23" s="8" t="s">
        <v>31</v>
      </c>
    </row>
    <row r="24" spans="1:5" ht="16.5" customHeight="1" x14ac:dyDescent="0.35">
      <c r="A24" s="5"/>
      <c r="B24" s="9" t="s">
        <v>32</v>
      </c>
      <c r="C24" s="23">
        <f>C22/C5</f>
        <v>1.9966681320510635</v>
      </c>
      <c r="D24" s="7"/>
      <c r="E24" s="8" t="s">
        <v>33</v>
      </c>
    </row>
    <row r="25" spans="1:5" ht="16.5" customHeight="1" x14ac:dyDescent="0.35">
      <c r="A25" s="5"/>
      <c r="B25" s="7" t="s">
        <v>34</v>
      </c>
      <c r="C25" s="24">
        <f>C22*Premissas!$C$21*12</f>
        <v>165154.90857352031</v>
      </c>
      <c r="D25" s="7"/>
      <c r="E25" s="8" t="s">
        <v>35</v>
      </c>
    </row>
    <row r="26" spans="1:5" ht="16.5" customHeight="1" x14ac:dyDescent="0.35">
      <c r="A26" s="5"/>
      <c r="B26" s="7" t="s">
        <v>36</v>
      </c>
      <c r="C26" s="24">
        <f>C23*Premissas!$C$20*12</f>
        <v>8020.0747283273449</v>
      </c>
      <c r="D26" s="7"/>
      <c r="E26" s="8" t="s">
        <v>37</v>
      </c>
    </row>
    <row r="27" spans="1:5" ht="16.5" customHeight="1" x14ac:dyDescent="0.35">
      <c r="A27" s="5"/>
      <c r="B27" s="7" t="s">
        <v>38</v>
      </c>
      <c r="C27" s="24">
        <f>C25-C26</f>
        <v>157134.83384519297</v>
      </c>
      <c r="D27" s="7"/>
      <c r="E27" s="8" t="s">
        <v>39</v>
      </c>
    </row>
    <row r="28" spans="1:5" ht="16.5" customHeight="1" x14ac:dyDescent="0.35">
      <c r="A28" s="5"/>
      <c r="B28" s="7" t="s">
        <v>40</v>
      </c>
      <c r="C28" s="24">
        <f>Premissas!$C$25</f>
        <v>7800</v>
      </c>
      <c r="D28" s="7"/>
      <c r="E28" s="8" t="s">
        <v>41</v>
      </c>
    </row>
    <row r="29" spans="1:5" ht="16.5" customHeight="1" x14ac:dyDescent="0.35">
      <c r="A29" s="5"/>
      <c r="B29" s="9" t="s">
        <v>42</v>
      </c>
      <c r="C29" s="25">
        <f>C27-C28</f>
        <v>149334.83384519297</v>
      </c>
      <c r="D29" s="7"/>
      <c r="E29" s="8" t="s">
        <v>43</v>
      </c>
    </row>
    <row r="31" spans="1:5" ht="18" customHeight="1" x14ac:dyDescent="0.35">
      <c r="A31" s="90" t="s">
        <v>44</v>
      </c>
      <c r="B31" s="90"/>
      <c r="C31" s="90"/>
      <c r="D31" s="90"/>
      <c r="E31" s="90"/>
    </row>
    <row r="32" spans="1:5" ht="15.75" customHeight="1" x14ac:dyDescent="0.35">
      <c r="A32" s="5"/>
      <c r="B32" s="5" t="s">
        <v>45</v>
      </c>
      <c r="C32" s="26">
        <f>Premissas!$C$20</f>
        <v>0.12243293</v>
      </c>
      <c r="D32" s="7"/>
    </row>
    <row r="33" spans="1:5" ht="15.75" customHeight="1" x14ac:dyDescent="0.35">
      <c r="A33" s="5"/>
      <c r="B33" s="5" t="s">
        <v>46</v>
      </c>
      <c r="C33" s="26">
        <f>Premissas!$C$21</f>
        <v>2.9331649799999999</v>
      </c>
      <c r="D33" s="7"/>
    </row>
    <row r="34" spans="1:5" ht="15.75" customHeight="1" x14ac:dyDescent="0.35">
      <c r="A34" s="5"/>
      <c r="B34" s="5" t="s">
        <v>47</v>
      </c>
      <c r="C34" s="26">
        <f>Premissas!$C$22</f>
        <v>2.8107320499999999</v>
      </c>
      <c r="D34" s="7"/>
    </row>
    <row r="35" spans="1:5" ht="15.75" customHeight="1" x14ac:dyDescent="0.35">
      <c r="A35" s="5"/>
      <c r="B35" s="5" t="s">
        <v>48</v>
      </c>
      <c r="C35" s="27">
        <f>Premissas!$C$26</f>
        <v>0.08</v>
      </c>
      <c r="D35" s="7"/>
    </row>
    <row r="37" spans="1:5" ht="18" customHeight="1" x14ac:dyDescent="0.35">
      <c r="A37" s="90" t="s">
        <v>49</v>
      </c>
      <c r="B37" s="90"/>
      <c r="C37" s="90"/>
      <c r="D37" s="90"/>
      <c r="E37" s="90"/>
    </row>
    <row r="38" spans="1:5" ht="19.5" customHeight="1" x14ac:dyDescent="0.35">
      <c r="A38" s="9"/>
      <c r="B38" s="10" t="s">
        <v>50</v>
      </c>
      <c r="C38" s="4">
        <f>'Fluxo 20 Anos'!C249</f>
        <v>1088598.1153814162</v>
      </c>
      <c r="D38" s="9"/>
    </row>
    <row r="39" spans="1:5" ht="19.5" customHeight="1" x14ac:dyDescent="0.35">
      <c r="A39" s="9"/>
      <c r="B39" s="10" t="s">
        <v>51</v>
      </c>
      <c r="C39" s="28">
        <f>'Fluxo 20 Anos'!C250</f>
        <v>0.33737692803821151</v>
      </c>
      <c r="D39" s="9"/>
    </row>
    <row r="40" spans="1:5" ht="19.5" customHeight="1" x14ac:dyDescent="0.35">
      <c r="A40" s="9"/>
      <c r="B40" s="10" t="s">
        <v>52</v>
      </c>
      <c r="C40" s="2">
        <f>'Fluxo 20 Anos'!C252</f>
        <v>3.3098908167148036</v>
      </c>
      <c r="D40" s="9"/>
    </row>
    <row r="41" spans="1:5" ht="19.5" customHeight="1" x14ac:dyDescent="0.35">
      <c r="A41" s="9"/>
      <c r="B41" s="10" t="s">
        <v>53</v>
      </c>
      <c r="C41" s="3">
        <f>'Fluxo 20 Anos'!C251</f>
        <v>39.718689800577643</v>
      </c>
      <c r="D41" s="9"/>
    </row>
    <row r="42" spans="1:5" ht="19.5" customHeight="1" x14ac:dyDescent="0.35">
      <c r="A42" s="9"/>
      <c r="B42" s="10" t="s">
        <v>54</v>
      </c>
      <c r="C42" s="4">
        <f>'Fluxo 20 Anos'!C253</f>
        <v>4765590.2790957307</v>
      </c>
      <c r="D42" s="9"/>
    </row>
    <row r="43" spans="1:5" ht="19.5" customHeight="1" x14ac:dyDescent="0.35">
      <c r="A43" s="29"/>
      <c r="B43" s="1" t="s">
        <v>55</v>
      </c>
      <c r="C43" s="30">
        <f>'Fluxo 20 Anos'!C254</f>
        <v>5285590.2790957298</v>
      </c>
      <c r="D43" s="29"/>
    </row>
    <row r="45" spans="1:5" ht="13.5" customHeight="1" x14ac:dyDescent="0.35">
      <c r="B45" s="91" t="s">
        <v>56</v>
      </c>
      <c r="C45" s="91"/>
      <c r="D45" s="91"/>
      <c r="E45" s="91"/>
    </row>
  </sheetData>
  <mergeCells count="8">
    <mergeCell ref="A31:E31"/>
    <mergeCell ref="A37:E37"/>
    <mergeCell ref="B45:E45"/>
    <mergeCell ref="A1:F1"/>
    <mergeCell ref="A2:F2"/>
    <mergeCell ref="A4:E4"/>
    <mergeCell ref="A10:E10"/>
    <mergeCell ref="A21:E21"/>
  </mergeCells>
  <pageMargins left="0.25" right="0.25" top="0.75" bottom="0.75" header="0.3" footer="0.3"/>
  <pageSetup paperSize="9" scale="87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4"/>
  <sheetViews>
    <sheetView showGridLines="0" topLeftCell="A9" zoomScaleNormal="100" workbookViewId="0">
      <selection activeCell="H22" sqref="H22"/>
    </sheetView>
  </sheetViews>
  <sheetFormatPr defaultColWidth="8.6328125" defaultRowHeight="14.5" x14ac:dyDescent="0.35"/>
  <cols>
    <col min="1" max="1" width="5" customWidth="1"/>
    <col min="2" max="2" width="16" customWidth="1"/>
    <col min="3" max="3" width="12" customWidth="1"/>
    <col min="4" max="6" width="10" customWidth="1"/>
    <col min="7" max="8" width="14" customWidth="1"/>
    <col min="9" max="9" width="12" customWidth="1"/>
    <col min="10" max="12" width="14" customWidth="1"/>
  </cols>
  <sheetData>
    <row r="1" spans="1:14" ht="24" customHeight="1" x14ac:dyDescent="0.35">
      <c r="A1" s="97" t="s">
        <v>57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</row>
    <row r="2" spans="1:14" ht="24" customHeight="1" x14ac:dyDescent="0.35">
      <c r="A2" s="93" t="s">
        <v>58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</row>
    <row r="4" spans="1:14" ht="37.5" customHeight="1" x14ac:dyDescent="0.35">
      <c r="A4" s="31" t="s">
        <v>59</v>
      </c>
      <c r="B4" s="31" t="s">
        <v>60</v>
      </c>
      <c r="C4" s="32" t="s">
        <v>61</v>
      </c>
      <c r="D4" s="32" t="s">
        <v>62</v>
      </c>
      <c r="E4" s="33" t="s">
        <v>63</v>
      </c>
      <c r="F4" s="33" t="s">
        <v>64</v>
      </c>
      <c r="G4" s="34" t="s">
        <v>65</v>
      </c>
      <c r="H4" s="32" t="s">
        <v>66</v>
      </c>
      <c r="I4" s="31" t="s">
        <v>67</v>
      </c>
      <c r="J4" s="31" t="s">
        <v>68</v>
      </c>
      <c r="K4" s="35" t="s">
        <v>69</v>
      </c>
      <c r="L4" s="35" t="s">
        <v>70</v>
      </c>
    </row>
    <row r="5" spans="1:14" ht="18" customHeight="1" x14ac:dyDescent="0.35">
      <c r="A5" s="36" t="s">
        <v>71</v>
      </c>
      <c r="B5" s="36" t="s">
        <v>72</v>
      </c>
      <c r="C5" s="37"/>
      <c r="D5" s="37"/>
      <c r="E5" s="37"/>
      <c r="F5" s="37"/>
      <c r="G5" s="37"/>
      <c r="H5" s="37"/>
      <c r="I5" s="38">
        <f>-Dimensionador!$C$8</f>
        <v>-520000</v>
      </c>
      <c r="J5" s="38">
        <f>-Dimensionador!$C$8</f>
        <v>-520000</v>
      </c>
      <c r="K5" s="38">
        <f>0</f>
        <v>0</v>
      </c>
      <c r="L5" s="37"/>
      <c r="M5">
        <f>-Dimensionador!$C$8</f>
        <v>-520000</v>
      </c>
      <c r="N5">
        <f>-Dimensionador!$C$8</f>
        <v>-520000</v>
      </c>
    </row>
    <row r="6" spans="1:14" ht="12.75" customHeight="1" x14ac:dyDescent="0.35">
      <c r="A6" s="39">
        <v>1</v>
      </c>
      <c r="B6" s="40" t="s">
        <v>73</v>
      </c>
      <c r="C6" s="41">
        <f>Premissas!$C$31+0*(Premissas!$C$32-Premissas!$C$31)</f>
        <v>1</v>
      </c>
      <c r="D6" s="42">
        <f>(1+Premissas!$C$26)^(0)</f>
        <v>1</v>
      </c>
      <c r="E6" s="43">
        <f>Dimensionador!$C$22*(Premissas!$C$31+0*(Premissas!$C$32-Premissas!$C$31))*Premissas!$C$21*(1+Premissas!$C$26)^(0)</f>
        <v>13762.909047793359</v>
      </c>
      <c r="F6" s="43">
        <f>Dimensionador!$C$23*(Premissas!$C$31+0*(Premissas!$C$32-Premissas!$C$31))*Premissas!$C$20*(1+Premissas!$C$26)^(0)</f>
        <v>668.33956069394537</v>
      </c>
      <c r="G6" s="43">
        <f>Premissas!$C$25*(1+Premissas!$C$27)^(0)/12</f>
        <v>650</v>
      </c>
      <c r="H6" s="43">
        <f t="shared" ref="H6:H69" si="0">E6-F6</f>
        <v>13094.569487099414</v>
      </c>
      <c r="I6" s="43">
        <f t="shared" ref="I6:I69" si="1">H6-G6</f>
        <v>12444.569487099414</v>
      </c>
      <c r="J6" s="44">
        <f t="shared" ref="J6:J69" si="2">J5+I6</f>
        <v>-507555.43051290058</v>
      </c>
      <c r="K6" s="45">
        <f>I6</f>
        <v>12444.569487099414</v>
      </c>
      <c r="L6" s="46" t="s">
        <v>74</v>
      </c>
      <c r="M6" s="47">
        <f t="shared" ref="M6:M69" si="3">I6</f>
        <v>12444.569487099414</v>
      </c>
      <c r="N6">
        <f>SUM(I6:I17)</f>
        <v>147246.25001200062</v>
      </c>
    </row>
    <row r="7" spans="1:14" ht="12.75" customHeight="1" x14ac:dyDescent="0.35">
      <c r="A7" s="48">
        <v>1</v>
      </c>
      <c r="B7" s="40" t="s">
        <v>75</v>
      </c>
      <c r="C7" s="41">
        <f>Premissas!$C$31+0.0833333333*(Premissas!$C$32-Premissas!$C$31)</f>
        <v>0.99758333333430005</v>
      </c>
      <c r="D7" s="42">
        <f>(1+Premissas!$C$26)^(0)</f>
        <v>1</v>
      </c>
      <c r="E7" s="43">
        <f>Dimensionador!$C$22*(Premissas!$C$31+0.0833333333*(Premissas!$C$32-Premissas!$C$31))*Premissas!$C$21*(1+Premissas!$C$26)^(0)</f>
        <v>13729.648684274496</v>
      </c>
      <c r="F7" s="43">
        <f>Dimensionador!$C$23*(Premissas!$C$31+0.0833333333*(Premissas!$C$32-Premissas!$C$31))*Premissas!$C$20*(1+Premissas!$C$26)^(0)</f>
        <v>666.72440675624773</v>
      </c>
      <c r="G7" s="43">
        <f>Premissas!$C$25*(1+Premissas!$C$27)^(0)/12</f>
        <v>650</v>
      </c>
      <c r="H7" s="43">
        <f t="shared" si="0"/>
        <v>13062.924277518248</v>
      </c>
      <c r="I7" s="43">
        <f t="shared" si="1"/>
        <v>12412.924277518248</v>
      </c>
      <c r="J7" s="44">
        <f t="shared" si="2"/>
        <v>-495142.50623538235</v>
      </c>
      <c r="K7" s="45">
        <f t="shared" ref="K7:K70" si="4">K6+I7</f>
        <v>24857.493764617662</v>
      </c>
      <c r="L7" s="46" t="str">
        <f t="shared" ref="L7:L70" si="5">IF(AND(J7&gt;=0,J6&lt;0),"✅ PAYBACK","")</f>
        <v/>
      </c>
      <c r="M7" s="47">
        <f t="shared" si="3"/>
        <v>12412.924277518248</v>
      </c>
      <c r="N7">
        <f>SUM(I18:I29)</f>
        <v>154961.17747344941</v>
      </c>
    </row>
    <row r="8" spans="1:14" ht="12.75" customHeight="1" x14ac:dyDescent="0.35">
      <c r="A8" s="48">
        <v>1</v>
      </c>
      <c r="B8" s="40" t="s">
        <v>76</v>
      </c>
      <c r="C8" s="41">
        <f>Premissas!$C$31+0.1666666667*(Premissas!$C$32-Premissas!$C$31)</f>
        <v>0.99516666666569997</v>
      </c>
      <c r="D8" s="42">
        <f>(1+Premissas!$C$26)^(0)</f>
        <v>1</v>
      </c>
      <c r="E8" s="43">
        <f>Dimensionador!$C$22*(Premissas!$C$31+0.1666666667*(Premissas!$C$32-Premissas!$C$31))*Premissas!$C$21*(1+Premissas!$C$26)^(0)</f>
        <v>13696.38832071572</v>
      </c>
      <c r="F8" s="43">
        <f>Dimensionador!$C$23*(Premissas!$C$31+0.1666666667*(Premissas!$C$32-Premissas!$C$31))*Premissas!$C$20*(1+Premissas!$C$26)^(0)</f>
        <v>665.10925281661184</v>
      </c>
      <c r="G8" s="43">
        <f>Premissas!$C$25*(1+Premissas!$C$27)^(0)/12</f>
        <v>650</v>
      </c>
      <c r="H8" s="43">
        <f t="shared" si="0"/>
        <v>13031.279067899108</v>
      </c>
      <c r="I8" s="43">
        <f t="shared" si="1"/>
        <v>12381.279067899108</v>
      </c>
      <c r="J8" s="44">
        <f t="shared" si="2"/>
        <v>-482761.22716748324</v>
      </c>
      <c r="K8" s="45">
        <f t="shared" si="4"/>
        <v>37238.77283251677</v>
      </c>
      <c r="L8" s="46" t="str">
        <f t="shared" si="5"/>
        <v/>
      </c>
      <c r="M8" s="47">
        <f t="shared" si="3"/>
        <v>12381.279067899108</v>
      </c>
      <c r="N8">
        <f>SUM(I30:I41)</f>
        <v>163712.29262114095</v>
      </c>
    </row>
    <row r="9" spans="1:14" ht="12.75" customHeight="1" x14ac:dyDescent="0.35">
      <c r="A9" s="48">
        <v>1</v>
      </c>
      <c r="B9" s="40" t="s">
        <v>77</v>
      </c>
      <c r="C9" s="41">
        <f>Premissas!$C$31+0.25*(Premissas!$C$32-Premissas!$C$31)</f>
        <v>0.99275000000000002</v>
      </c>
      <c r="D9" s="42">
        <f>(1+Premissas!$C$26)^(0)</f>
        <v>1</v>
      </c>
      <c r="E9" s="43">
        <f>Dimensionador!$C$22*(Premissas!$C$31+0.25*(Premissas!$C$32-Premissas!$C$31))*Premissas!$C$21*(1+Premissas!$C$26)^(0)</f>
        <v>13663.127957196855</v>
      </c>
      <c r="F9" s="43">
        <f>Dimensionador!$C$23*(Premissas!$C$31+0.25*(Premissas!$C$32-Premissas!$C$31))*Premissas!$C$20*(1+Premissas!$C$26)^(0)</f>
        <v>663.49409887891431</v>
      </c>
      <c r="G9" s="43">
        <f>Premissas!$C$25*(1+Premissas!$C$27)^(0)/12</f>
        <v>650</v>
      </c>
      <c r="H9" s="43">
        <f t="shared" si="0"/>
        <v>12999.63385831794</v>
      </c>
      <c r="I9" s="43">
        <f t="shared" si="1"/>
        <v>12349.63385831794</v>
      </c>
      <c r="J9" s="44">
        <f t="shared" si="2"/>
        <v>-470411.59330916533</v>
      </c>
      <c r="K9" s="45">
        <f t="shared" si="4"/>
        <v>49588.406690834709</v>
      </c>
      <c r="L9" s="46" t="str">
        <f t="shared" si="5"/>
        <v/>
      </c>
      <c r="M9" s="47">
        <f t="shared" si="3"/>
        <v>12349.63385831794</v>
      </c>
      <c r="N9">
        <f>SUM(I42:I53)</f>
        <v>173156.91430351106</v>
      </c>
    </row>
    <row r="10" spans="1:14" ht="12.75" customHeight="1" x14ac:dyDescent="0.35">
      <c r="A10" s="48">
        <v>1</v>
      </c>
      <c r="B10" s="40" t="s">
        <v>78</v>
      </c>
      <c r="C10" s="41">
        <f>Premissas!$C$31+0.3333333333*(Premissas!$C$32-Premissas!$C$31)</f>
        <v>0.99033333333429996</v>
      </c>
      <c r="D10" s="42">
        <f>(1+Premissas!$C$26)^(0)</f>
        <v>1</v>
      </c>
      <c r="E10" s="43">
        <f>Dimensionador!$C$22*(Premissas!$C$31+0.3333333333*(Premissas!$C$32-Premissas!$C$31))*Premissas!$C$21*(1+Premissas!$C$26)^(0)</f>
        <v>13629.867593677993</v>
      </c>
      <c r="F10" s="43">
        <f>Dimensionador!$C$23*(Premissas!$C$31+0.3333333333*(Premissas!$C$32-Premissas!$C$31))*Premissas!$C$20*(1+Premissas!$C$26)^(0)</f>
        <v>661.87894494121656</v>
      </c>
      <c r="G10" s="43">
        <f>Premissas!$C$25*(1+Premissas!$C$27)^(0)/12</f>
        <v>650</v>
      </c>
      <c r="H10" s="43">
        <f t="shared" si="0"/>
        <v>12967.988648736777</v>
      </c>
      <c r="I10" s="43">
        <f t="shared" si="1"/>
        <v>12317.988648736777</v>
      </c>
      <c r="J10" s="44">
        <f t="shared" si="2"/>
        <v>-458093.60466042854</v>
      </c>
      <c r="K10" s="45">
        <f t="shared" si="4"/>
        <v>61906.395339571485</v>
      </c>
      <c r="L10" s="46" t="str">
        <f t="shared" si="5"/>
        <v/>
      </c>
      <c r="M10" s="47">
        <f t="shared" si="3"/>
        <v>12317.988648736777</v>
      </c>
      <c r="N10">
        <f>SUM(I54:I65)</f>
        <v>183258.00943896288</v>
      </c>
    </row>
    <row r="11" spans="1:14" ht="12.75" customHeight="1" x14ac:dyDescent="0.35">
      <c r="A11" s="48">
        <v>1</v>
      </c>
      <c r="B11" s="40" t="s">
        <v>79</v>
      </c>
      <c r="C11" s="41">
        <f>Premissas!$C$31+0.4166666667*(Premissas!$C$32-Premissas!$C$31)</f>
        <v>0.98791666666569999</v>
      </c>
      <c r="D11" s="42">
        <f>(1+Premissas!$C$26)^(0)</f>
        <v>1</v>
      </c>
      <c r="E11" s="43">
        <f>Dimensionador!$C$22*(Premissas!$C$31+0.4166666667*(Premissas!$C$32-Premissas!$C$31))*Premissas!$C$21*(1+Premissas!$C$26)^(0)</f>
        <v>13596.607230119216</v>
      </c>
      <c r="F11" s="43">
        <f>Dimensionador!$C$23*(Premissas!$C$31+0.4166666667*(Premissas!$C$32-Premissas!$C$31))*Premissas!$C$20*(1+Premissas!$C$26)^(0)</f>
        <v>660.26379100158078</v>
      </c>
      <c r="G11" s="43">
        <f>Premissas!$C$25*(1+Premissas!$C$27)^(0)/12</f>
        <v>650</v>
      </c>
      <c r="H11" s="43">
        <f t="shared" si="0"/>
        <v>12936.343439117636</v>
      </c>
      <c r="I11" s="43">
        <f t="shared" si="1"/>
        <v>12286.343439117636</v>
      </c>
      <c r="J11" s="44">
        <f t="shared" si="2"/>
        <v>-445807.26122131088</v>
      </c>
      <c r="K11" s="45">
        <f t="shared" si="4"/>
        <v>74192.738778689119</v>
      </c>
      <c r="L11" s="46" t="str">
        <f t="shared" si="5"/>
        <v/>
      </c>
      <c r="M11" s="47">
        <f t="shared" si="3"/>
        <v>12286.343439117636</v>
      </c>
      <c r="N11">
        <f>SUM(I66:I77)</f>
        <v>194076.64999125656</v>
      </c>
    </row>
    <row r="12" spans="1:14" ht="12.75" customHeight="1" x14ac:dyDescent="0.35">
      <c r="A12" s="48">
        <v>1</v>
      </c>
      <c r="B12" s="40" t="s">
        <v>80</v>
      </c>
      <c r="C12" s="41">
        <f>Premissas!$C$31+0.5*(Premissas!$C$32-Premissas!$C$31)</f>
        <v>0.98550000000000004</v>
      </c>
      <c r="D12" s="42">
        <f>(1+Premissas!$C$26)^(0)</f>
        <v>1</v>
      </c>
      <c r="E12" s="43">
        <f>Dimensionador!$C$22*(Premissas!$C$31+0.5*(Premissas!$C$32-Premissas!$C$31))*Premissas!$C$21*(1+Premissas!$C$26)^(0)</f>
        <v>13563.346866600355</v>
      </c>
      <c r="F12" s="43">
        <f>Dimensionador!$C$23*(Premissas!$C$31+0.5*(Premissas!$C$32-Premissas!$C$31))*Premissas!$C$20*(1+Premissas!$C$26)^(0)</f>
        <v>658.64863706388314</v>
      </c>
      <c r="G12" s="43">
        <f>Premissas!$C$25*(1+Premissas!$C$27)^(0)/12</f>
        <v>650</v>
      </c>
      <c r="H12" s="43">
        <f t="shared" si="0"/>
        <v>12904.698229536472</v>
      </c>
      <c r="I12" s="43">
        <f t="shared" si="1"/>
        <v>12254.698229536472</v>
      </c>
      <c r="J12" s="44">
        <f t="shared" si="2"/>
        <v>-433552.56299177441</v>
      </c>
      <c r="K12" s="45">
        <f t="shared" si="4"/>
        <v>86447.437008225592</v>
      </c>
      <c r="L12" s="46" t="str">
        <f t="shared" si="5"/>
        <v/>
      </c>
      <c r="M12" s="47">
        <f t="shared" si="3"/>
        <v>12254.698229536472</v>
      </c>
      <c r="N12">
        <f>SUM(I78:I89)</f>
        <v>205566.54068429195</v>
      </c>
    </row>
    <row r="13" spans="1:14" ht="12.75" customHeight="1" x14ac:dyDescent="0.35">
      <c r="A13" s="48">
        <v>1</v>
      </c>
      <c r="B13" s="40" t="s">
        <v>81</v>
      </c>
      <c r="C13" s="41">
        <f>Premissas!$C$31+0.5833333333*(Premissas!$C$32-Premissas!$C$31)</f>
        <v>0.98308333333429998</v>
      </c>
      <c r="D13" s="42">
        <f>(1+Premissas!$C$26)^(0)</f>
        <v>1</v>
      </c>
      <c r="E13" s="43">
        <f>Dimensionador!$C$22*(Premissas!$C$31+0.5833333333*(Premissas!$C$32-Premissas!$C$31))*Premissas!$C$21*(1+Premissas!$C$26)^(0)</f>
        <v>13530.086503081491</v>
      </c>
      <c r="F13" s="43">
        <f>Dimensionador!$C$23*(Premissas!$C$31+0.5833333333*(Premissas!$C$32-Premissas!$C$31))*Premissas!$C$20*(1+Premissas!$C$26)^(0)</f>
        <v>657.0334831261855</v>
      </c>
      <c r="G13" s="43">
        <f>Premissas!$C$25*(1+Premissas!$C$27)^(0)/12</f>
        <v>650</v>
      </c>
      <c r="H13" s="43">
        <f t="shared" si="0"/>
        <v>12873.053019955305</v>
      </c>
      <c r="I13" s="43">
        <f t="shared" si="1"/>
        <v>12223.053019955305</v>
      </c>
      <c r="J13" s="44">
        <f t="shared" si="2"/>
        <v>-421329.50997181912</v>
      </c>
      <c r="K13" s="45">
        <f t="shared" si="4"/>
        <v>98670.490028180895</v>
      </c>
      <c r="L13" s="46" t="str">
        <f t="shared" si="5"/>
        <v/>
      </c>
      <c r="M13" s="47">
        <f t="shared" si="3"/>
        <v>12223.053019955305</v>
      </c>
      <c r="N13">
        <f>SUM(I90:I101)</f>
        <v>217630.11748382007</v>
      </c>
    </row>
    <row r="14" spans="1:14" ht="12.75" customHeight="1" x14ac:dyDescent="0.35">
      <c r="A14" s="48">
        <v>1</v>
      </c>
      <c r="B14" s="40" t="s">
        <v>82</v>
      </c>
      <c r="C14" s="41">
        <f>Premissas!$C$31+0.6666666667*(Premissas!$C$32-Premissas!$C$31)</f>
        <v>0.98066666666570002</v>
      </c>
      <c r="D14" s="42">
        <f>(1+Premissas!$C$26)^(0)</f>
        <v>1</v>
      </c>
      <c r="E14" s="43">
        <f>Dimensionador!$C$22*(Premissas!$C$31+0.6666666667*(Premissas!$C$32-Premissas!$C$31))*Premissas!$C$21*(1+Premissas!$C$26)^(0)</f>
        <v>13496.826139522716</v>
      </c>
      <c r="F14" s="43">
        <f>Dimensionador!$C$23*(Premissas!$C$31+0.6666666667*(Premissas!$C$32-Premissas!$C$31))*Premissas!$C$20*(1+Premissas!$C$26)^(0)</f>
        <v>655.41832918654961</v>
      </c>
      <c r="G14" s="43">
        <f>Premissas!$C$25*(1+Premissas!$C$27)^(0)/12</f>
        <v>650</v>
      </c>
      <c r="H14" s="43">
        <f t="shared" si="0"/>
        <v>12841.407810336166</v>
      </c>
      <c r="I14" s="43">
        <f t="shared" si="1"/>
        <v>12191.407810336166</v>
      </c>
      <c r="J14" s="44">
        <f t="shared" si="2"/>
        <v>-409138.10216148297</v>
      </c>
      <c r="K14" s="45">
        <f t="shared" si="4"/>
        <v>110861.89783851706</v>
      </c>
      <c r="L14" s="46" t="str">
        <f t="shared" si="5"/>
        <v/>
      </c>
      <c r="M14" s="47">
        <f t="shared" si="3"/>
        <v>12191.407810336166</v>
      </c>
      <c r="N14">
        <f>SUM(I102:I113)</f>
        <v>230418.26092950968</v>
      </c>
    </row>
    <row r="15" spans="1:14" ht="12.75" customHeight="1" x14ac:dyDescent="0.35">
      <c r="A15" s="48">
        <v>1</v>
      </c>
      <c r="B15" s="40" t="s">
        <v>83</v>
      </c>
      <c r="C15" s="41">
        <f>Premissas!$C$31+0.75*(Premissas!$C$32-Premissas!$C$31)</f>
        <v>0.97824999999999995</v>
      </c>
      <c r="D15" s="42">
        <f>(1+Premissas!$C$26)^(0)</f>
        <v>1</v>
      </c>
      <c r="E15" s="43">
        <f>Dimensionador!$C$22*(Premissas!$C$31+0.75*(Premissas!$C$32-Premissas!$C$31))*Premissas!$C$21*(1+Premissas!$C$26)^(0)</f>
        <v>13463.565776003852</v>
      </c>
      <c r="F15" s="43">
        <f>Dimensionador!$C$23*(Premissas!$C$31+0.75*(Premissas!$C$32-Premissas!$C$31))*Premissas!$C$20*(1+Premissas!$C$26)^(0)</f>
        <v>653.80317524885209</v>
      </c>
      <c r="G15" s="43">
        <f>Premissas!$C$25*(1+Premissas!$C$27)^(0)/12</f>
        <v>650</v>
      </c>
      <c r="H15" s="43">
        <f t="shared" si="0"/>
        <v>12809.762600755001</v>
      </c>
      <c r="I15" s="43">
        <f t="shared" si="1"/>
        <v>12159.762600755001</v>
      </c>
      <c r="J15" s="44">
        <f t="shared" si="2"/>
        <v>-396978.33956072794</v>
      </c>
      <c r="K15" s="45">
        <f t="shared" si="4"/>
        <v>123021.66043927206</v>
      </c>
      <c r="L15" s="46" t="str">
        <f t="shared" si="5"/>
        <v/>
      </c>
      <c r="M15" s="47">
        <f t="shared" si="3"/>
        <v>12159.762600755001</v>
      </c>
      <c r="N15">
        <f>SUM(I114:I125)</f>
        <v>243861.86813923198</v>
      </c>
    </row>
    <row r="16" spans="1:14" ht="12.75" customHeight="1" x14ac:dyDescent="0.35">
      <c r="A16" s="48">
        <v>1</v>
      </c>
      <c r="B16" s="40" t="s">
        <v>84</v>
      </c>
      <c r="C16" s="41">
        <f>Premissas!$C$31+0.8333333333*(Premissas!$C$32-Premissas!$C$31)</f>
        <v>0.9758333333343</v>
      </c>
      <c r="D16" s="42">
        <f>(1+Premissas!$C$26)^(0)</f>
        <v>1</v>
      </c>
      <c r="E16" s="43">
        <f>Dimensionador!$C$22*(Premissas!$C$31+0.8333333333*(Premissas!$C$32-Premissas!$C$31))*Premissas!$C$21*(1+Premissas!$C$26)^(0)</f>
        <v>13430.305412484988</v>
      </c>
      <c r="F16" s="43">
        <f>Dimensionador!$C$23*(Premissas!$C$31+0.8333333333*(Premissas!$C$32-Premissas!$C$31))*Premissas!$C$20*(1+Premissas!$C$26)^(0)</f>
        <v>652.18802131115433</v>
      </c>
      <c r="G16" s="43">
        <f>Premissas!$C$25*(1+Premissas!$C$27)^(0)/12</f>
        <v>650</v>
      </c>
      <c r="H16" s="43">
        <f t="shared" si="0"/>
        <v>12778.117391173833</v>
      </c>
      <c r="I16" s="43">
        <f t="shared" si="1"/>
        <v>12128.117391173833</v>
      </c>
      <c r="J16" s="44">
        <f t="shared" si="2"/>
        <v>-384850.22216955409</v>
      </c>
      <c r="K16" s="45">
        <f t="shared" si="4"/>
        <v>135149.77783044591</v>
      </c>
      <c r="L16" s="46" t="str">
        <f t="shared" si="5"/>
        <v/>
      </c>
      <c r="M16" s="47">
        <f t="shared" si="3"/>
        <v>12128.117391173833</v>
      </c>
      <c r="N16">
        <f>SUM(I126:I137)</f>
        <v>258084.28948624796</v>
      </c>
    </row>
    <row r="17" spans="1:14" ht="12.75" customHeight="1" x14ac:dyDescent="0.35">
      <c r="A17" s="49">
        <v>1</v>
      </c>
      <c r="B17" s="50" t="s">
        <v>85</v>
      </c>
      <c r="C17" s="51">
        <f>Premissas!$C$31+0.9166666667*(Premissas!$C$32-Premissas!$C$31)</f>
        <v>0.97341666666569993</v>
      </c>
      <c r="D17" s="52">
        <f>(1+Premissas!$C$26)^(0)</f>
        <v>1</v>
      </c>
      <c r="E17" s="53">
        <f>Dimensionador!$C$22*(Premissas!$C$31+0.9166666667*(Premissas!$C$32-Premissas!$C$31))*Premissas!$C$21*(1+Premissas!$C$26)^(0)</f>
        <v>13397.045048926215</v>
      </c>
      <c r="F17" s="53">
        <f>Dimensionador!$C$23*(Premissas!$C$31+0.9166666667*(Premissas!$C$32-Premissas!$C$31))*Premissas!$C$20*(1+Premissas!$C$26)^(0)</f>
        <v>650.57286737151844</v>
      </c>
      <c r="G17" s="53">
        <f>Premissas!$C$25*(1+Premissas!$C$27)^(0)/12</f>
        <v>650</v>
      </c>
      <c r="H17" s="53">
        <f t="shared" si="0"/>
        <v>12746.472181554696</v>
      </c>
      <c r="I17" s="53">
        <f t="shared" si="1"/>
        <v>12096.472181554696</v>
      </c>
      <c r="J17" s="54">
        <f t="shared" si="2"/>
        <v>-372753.74998799938</v>
      </c>
      <c r="K17" s="55">
        <f t="shared" si="4"/>
        <v>147246.25001200062</v>
      </c>
      <c r="L17" s="56" t="str">
        <f t="shared" si="5"/>
        <v/>
      </c>
      <c r="M17" s="47">
        <f t="shared" si="3"/>
        <v>12096.472181554696</v>
      </c>
      <c r="N17">
        <f>SUM(I138:I149)</f>
        <v>273225.1277821039</v>
      </c>
    </row>
    <row r="18" spans="1:14" ht="12.75" customHeight="1" x14ac:dyDescent="0.35">
      <c r="A18" s="57">
        <v>2</v>
      </c>
      <c r="B18" s="58" t="s">
        <v>73</v>
      </c>
      <c r="C18" s="59">
        <f>Premissas!$C$32+0*(Premissas!$C$33-Premissas!$C$32)</f>
        <v>0.97099999999999997</v>
      </c>
      <c r="D18" s="60">
        <f>(1+Premissas!$C$26)^(1)</f>
        <v>1.08</v>
      </c>
      <c r="E18" s="61">
        <f>Dimensionador!$C$22*(Premissas!$C$32+0*(Premissas!$C$33-Premissas!$C$32))*Premissas!$C$21*(1+Premissas!$C$26)^(1)</f>
        <v>14432.887460239941</v>
      </c>
      <c r="F18" s="61">
        <f>Dimensionador!$C$23*(Premissas!$C$32+0*(Premissas!$C$33-Premissas!$C$32))*Premissas!$C$20*(1+Premissas!$C$26)^(1)</f>
        <v>700.87433050852667</v>
      </c>
      <c r="G18" s="61">
        <f>Premissas!$C$25*(1+Premissas!$C$27)^(1)/12</f>
        <v>669.5</v>
      </c>
      <c r="H18" s="61">
        <f t="shared" si="0"/>
        <v>13732.013129731415</v>
      </c>
      <c r="I18" s="61">
        <f t="shared" si="1"/>
        <v>13062.513129731415</v>
      </c>
      <c r="J18" s="62">
        <f t="shared" si="2"/>
        <v>-359691.23685826798</v>
      </c>
      <c r="K18" s="63">
        <f t="shared" si="4"/>
        <v>160308.76314173202</v>
      </c>
      <c r="L18" s="64" t="str">
        <f t="shared" si="5"/>
        <v/>
      </c>
      <c r="M18" s="47">
        <f t="shared" si="3"/>
        <v>13062.513129731415</v>
      </c>
      <c r="N18">
        <f>SUM(I150:I161)</f>
        <v>289077.5800296127</v>
      </c>
    </row>
    <row r="19" spans="1:14" ht="12.75" customHeight="1" x14ac:dyDescent="0.35">
      <c r="A19" s="65">
        <v>2</v>
      </c>
      <c r="B19" s="58" t="s">
        <v>75</v>
      </c>
      <c r="C19" s="59">
        <f>Premissas!$C$32+0.0833333333*(Premissas!$C$33-Premissas!$C$32)</f>
        <v>0.96908333333410002</v>
      </c>
      <c r="D19" s="60">
        <f>(1+Premissas!$C$26)^(1)</f>
        <v>1.08</v>
      </c>
      <c r="E19" s="61">
        <f>Dimensionador!$C$22*(Premissas!$C$32+0.0833333333*(Premissas!$C$33-Premissas!$C$32))*Premissas!$C$21*(1+Premissas!$C$26)^(1)</f>
        <v>14404.398238522404</v>
      </c>
      <c r="F19" s="61">
        <f>Dimensionador!$C$23*(Premissas!$C$32+0.0833333333*(Premissas!$C$33-Premissas!$C$32))*Premissas!$C$20*(1+Premissas!$C$26)^(1)</f>
        <v>699.49086761844353</v>
      </c>
      <c r="G19" s="61">
        <f>Premissas!$C$25*(1+Premissas!$C$27)^(1)/12</f>
        <v>669.5</v>
      </c>
      <c r="H19" s="61">
        <f t="shared" si="0"/>
        <v>13704.90737090396</v>
      </c>
      <c r="I19" s="61">
        <f t="shared" si="1"/>
        <v>13035.40737090396</v>
      </c>
      <c r="J19" s="62">
        <f t="shared" si="2"/>
        <v>-346655.82948736404</v>
      </c>
      <c r="K19" s="63">
        <f t="shared" si="4"/>
        <v>173344.17051263599</v>
      </c>
      <c r="L19" s="64" t="str">
        <f t="shared" si="5"/>
        <v/>
      </c>
      <c r="M19" s="47">
        <f t="shared" si="3"/>
        <v>13035.40737090396</v>
      </c>
      <c r="N19">
        <f>SUM(I162:I173)</f>
        <v>305922.27122053481</v>
      </c>
    </row>
    <row r="20" spans="1:14" ht="12.75" customHeight="1" x14ac:dyDescent="0.35">
      <c r="A20" s="65">
        <v>2</v>
      </c>
      <c r="B20" s="58" t="s">
        <v>76</v>
      </c>
      <c r="C20" s="59">
        <f>Premissas!$C$32+0.1666666667*(Premissas!$C$33-Premissas!$C$32)</f>
        <v>0.96716666666590001</v>
      </c>
      <c r="D20" s="60">
        <f>(1+Premissas!$C$26)^(1)</f>
        <v>1.08</v>
      </c>
      <c r="E20" s="61">
        <f>Dimensionador!$C$22*(Premissas!$C$32+0.1666666667*(Premissas!$C$33-Premissas!$C$32))*Premissas!$C$21*(1+Premissas!$C$26)^(1)</f>
        <v>14375.90901677068</v>
      </c>
      <c r="F20" s="61">
        <f>Dimensionador!$C$23*(Premissas!$C$32+0.1666666667*(Premissas!$C$33-Premissas!$C$32))*Premissas!$C$20*(1+Premissas!$C$26)^(1)</f>
        <v>698.10740472670034</v>
      </c>
      <c r="G20" s="61">
        <f>Premissas!$C$25*(1+Premissas!$C$27)^(1)/12</f>
        <v>669.5</v>
      </c>
      <c r="H20" s="61">
        <f t="shared" si="0"/>
        <v>13677.801612043979</v>
      </c>
      <c r="I20" s="61">
        <f t="shared" si="1"/>
        <v>13008.301612043979</v>
      </c>
      <c r="J20" s="62">
        <f t="shared" si="2"/>
        <v>-333647.52787532005</v>
      </c>
      <c r="K20" s="63">
        <f t="shared" si="4"/>
        <v>186352.47212467997</v>
      </c>
      <c r="L20" s="64" t="str">
        <f t="shared" si="5"/>
        <v/>
      </c>
      <c r="M20" s="47">
        <f t="shared" si="3"/>
        <v>13008.301612043979</v>
      </c>
      <c r="N20">
        <f>SUM(I174:I185)</f>
        <v>323584.21415252157</v>
      </c>
    </row>
    <row r="21" spans="1:14" ht="12.75" customHeight="1" x14ac:dyDescent="0.35">
      <c r="A21" s="65">
        <v>2</v>
      </c>
      <c r="B21" s="58" t="s">
        <v>77</v>
      </c>
      <c r="C21" s="59">
        <f>Premissas!$C$32+0.25*(Premissas!$C$33-Premissas!$C$32)</f>
        <v>0.96524999999999994</v>
      </c>
      <c r="D21" s="60">
        <f>(1+Premissas!$C$26)^(1)</f>
        <v>1.08</v>
      </c>
      <c r="E21" s="61">
        <f>Dimensionador!$C$22*(Premissas!$C$32+0.25*(Premissas!$C$33-Premissas!$C$32))*Premissas!$C$21*(1+Premissas!$C$26)^(1)</f>
        <v>14347.41979505314</v>
      </c>
      <c r="F21" s="61">
        <f>Dimensionador!$C$23*(Premissas!$C$32+0.25*(Premissas!$C$33-Premissas!$C$32))*Premissas!$C$20*(1+Premissas!$C$26)^(1)</f>
        <v>696.7239418366172</v>
      </c>
      <c r="G21" s="61">
        <f>Premissas!$C$25*(1+Premissas!$C$27)^(1)/12</f>
        <v>669.5</v>
      </c>
      <c r="H21" s="61">
        <f t="shared" si="0"/>
        <v>13650.695853216523</v>
      </c>
      <c r="I21" s="61">
        <f t="shared" si="1"/>
        <v>12981.195853216523</v>
      </c>
      <c r="J21" s="62">
        <f t="shared" si="2"/>
        <v>-320666.33202210354</v>
      </c>
      <c r="K21" s="63">
        <f t="shared" si="4"/>
        <v>199333.66797789649</v>
      </c>
      <c r="L21" s="64" t="str">
        <f t="shared" si="5"/>
        <v/>
      </c>
      <c r="M21" s="47">
        <f t="shared" si="3"/>
        <v>12981.195853216523</v>
      </c>
      <c r="N21">
        <f>SUM(I186:I197)</f>
        <v>342313.98904930125</v>
      </c>
    </row>
    <row r="22" spans="1:14" ht="12.75" customHeight="1" x14ac:dyDescent="0.35">
      <c r="A22" s="65">
        <v>2</v>
      </c>
      <c r="B22" s="58" t="s">
        <v>78</v>
      </c>
      <c r="C22" s="59">
        <f>Premissas!$C$32+0.3333333333*(Premissas!$C$33-Premissas!$C$32)</f>
        <v>0.96333333333409998</v>
      </c>
      <c r="D22" s="60">
        <f>(1+Premissas!$C$26)^(1)</f>
        <v>1.08</v>
      </c>
      <c r="E22" s="61">
        <f>Dimensionador!$C$22*(Premissas!$C$32+0.3333333333*(Premissas!$C$33-Premissas!$C$32))*Premissas!$C$21*(1+Premissas!$C$26)^(1)</f>
        <v>14318.930573335607</v>
      </c>
      <c r="F22" s="61">
        <f>Dimensionador!$C$23*(Premissas!$C$32+0.3333333333*(Premissas!$C$33-Premissas!$C$32))*Premissas!$C$20*(1+Premissas!$C$26)^(1)</f>
        <v>695.34047894653418</v>
      </c>
      <c r="G22" s="61">
        <f>Premissas!$C$25*(1+Premissas!$C$27)^(1)/12</f>
        <v>669.5</v>
      </c>
      <c r="H22" s="61">
        <f t="shared" si="0"/>
        <v>13623.590094389072</v>
      </c>
      <c r="I22" s="61">
        <f t="shared" si="1"/>
        <v>12954.090094389072</v>
      </c>
      <c r="J22" s="62">
        <f t="shared" si="2"/>
        <v>-307712.24192771449</v>
      </c>
      <c r="K22" s="63">
        <f t="shared" si="4"/>
        <v>212287.75807228556</v>
      </c>
      <c r="L22" s="64" t="str">
        <f t="shared" si="5"/>
        <v/>
      </c>
      <c r="M22" s="47">
        <f t="shared" si="3"/>
        <v>12954.090094389072</v>
      </c>
      <c r="N22">
        <f>SUM(I198:I209)</f>
        <v>362231.69154536753</v>
      </c>
    </row>
    <row r="23" spans="1:14" ht="12.75" customHeight="1" x14ac:dyDescent="0.35">
      <c r="A23" s="65">
        <v>2</v>
      </c>
      <c r="B23" s="58" t="s">
        <v>79</v>
      </c>
      <c r="C23" s="59">
        <f>Premissas!$C$32+0.4166666667*(Premissas!$C$33-Premissas!$C$32)</f>
        <v>0.96141666666589998</v>
      </c>
      <c r="D23" s="60">
        <f>(1+Premissas!$C$26)^(1)</f>
        <v>1.08</v>
      </c>
      <c r="E23" s="61">
        <f>Dimensionador!$C$22*(Premissas!$C$32+0.4166666667*(Premissas!$C$33-Premissas!$C$32))*Premissas!$C$21*(1+Premissas!$C$26)^(1)</f>
        <v>14290.441351583882</v>
      </c>
      <c r="F23" s="61">
        <f>Dimensionador!$C$23*(Premissas!$C$32+0.4166666667*(Premissas!$C$33-Premissas!$C$32))*Premissas!$C$20*(1+Premissas!$C$26)^(1)</f>
        <v>693.95701605479098</v>
      </c>
      <c r="G23" s="61">
        <f>Premissas!$C$25*(1+Premissas!$C$27)^(1)/12</f>
        <v>669.5</v>
      </c>
      <c r="H23" s="61">
        <f t="shared" si="0"/>
        <v>13596.48433552909</v>
      </c>
      <c r="I23" s="61">
        <f t="shared" si="1"/>
        <v>12926.98433552909</v>
      </c>
      <c r="J23" s="62">
        <f t="shared" si="2"/>
        <v>-294785.2575921854</v>
      </c>
      <c r="K23" s="63">
        <f t="shared" si="4"/>
        <v>225214.74240781466</v>
      </c>
      <c r="L23" s="64" t="str">
        <f t="shared" si="5"/>
        <v/>
      </c>
      <c r="M23" s="47">
        <f t="shared" si="3"/>
        <v>12926.98433552909</v>
      </c>
      <c r="N23">
        <f>SUM(I210:I221)</f>
        <v>383115.03654626542</v>
      </c>
    </row>
    <row r="24" spans="1:14" ht="12.75" customHeight="1" x14ac:dyDescent="0.35">
      <c r="A24" s="65">
        <v>2</v>
      </c>
      <c r="B24" s="58" t="s">
        <v>80</v>
      </c>
      <c r="C24" s="59">
        <f>Premissas!$C$32+0.5*(Premissas!$C$33-Premissas!$C$32)</f>
        <v>0.95950000000000002</v>
      </c>
      <c r="D24" s="60">
        <f>(1+Premissas!$C$26)^(1)</f>
        <v>1.08</v>
      </c>
      <c r="E24" s="61">
        <f>Dimensionador!$C$22*(Premissas!$C$32+0.5*(Premissas!$C$33-Premissas!$C$32))*Premissas!$C$21*(1+Premissas!$C$26)^(1)</f>
        <v>14261.952129866348</v>
      </c>
      <c r="F24" s="61">
        <f>Dimensionador!$C$23*(Premissas!$C$32+0.5*(Premissas!$C$33-Premissas!$C$32))*Premissas!$C$20*(1+Premissas!$C$26)^(1)</f>
        <v>692.57355316470785</v>
      </c>
      <c r="G24" s="61">
        <f>Premissas!$C$25*(1+Premissas!$C$27)^(1)/12</f>
        <v>669.5</v>
      </c>
      <c r="H24" s="61">
        <f t="shared" si="0"/>
        <v>13569.37857670164</v>
      </c>
      <c r="I24" s="61">
        <f t="shared" si="1"/>
        <v>12899.87857670164</v>
      </c>
      <c r="J24" s="62">
        <f t="shared" si="2"/>
        <v>-281885.37901548378</v>
      </c>
      <c r="K24" s="63">
        <f t="shared" si="4"/>
        <v>238114.62098451631</v>
      </c>
      <c r="L24" s="64" t="str">
        <f t="shared" si="5"/>
        <v/>
      </c>
      <c r="M24" s="47">
        <f t="shared" si="3"/>
        <v>12899.87857670164</v>
      </c>
      <c r="N24">
        <f>SUM(I222:I233)</f>
        <v>405277.93599837529</v>
      </c>
    </row>
    <row r="25" spans="1:14" ht="12.75" customHeight="1" x14ac:dyDescent="0.35">
      <c r="A25" s="65">
        <v>2</v>
      </c>
      <c r="B25" s="58" t="s">
        <v>81</v>
      </c>
      <c r="C25" s="59">
        <f>Premissas!$C$32+0.5833333333*(Premissas!$C$33-Premissas!$C$32)</f>
        <v>0.95758333333409995</v>
      </c>
      <c r="D25" s="60">
        <f>(1+Premissas!$C$26)^(1)</f>
        <v>1.08</v>
      </c>
      <c r="E25" s="61">
        <f>Dimensionador!$C$22*(Premissas!$C$32+0.5833333333*(Premissas!$C$33-Premissas!$C$32))*Premissas!$C$21*(1+Premissas!$C$26)^(1)</f>
        <v>14233.462908148807</v>
      </c>
      <c r="F25" s="61">
        <f>Dimensionador!$C$23*(Premissas!$C$32+0.5833333333*(Premissas!$C$33-Premissas!$C$32))*Premissas!$C$20*(1+Premissas!$C$26)^(1)</f>
        <v>691.19009027462471</v>
      </c>
      <c r="G25" s="61">
        <f>Premissas!$C$25*(1+Premissas!$C$27)^(1)/12</f>
        <v>669.5</v>
      </c>
      <c r="H25" s="61">
        <f t="shared" si="0"/>
        <v>13542.272817874182</v>
      </c>
      <c r="I25" s="61">
        <f t="shared" si="1"/>
        <v>12872.772817874182</v>
      </c>
      <c r="J25" s="62">
        <f t="shared" si="2"/>
        <v>-269012.60619760957</v>
      </c>
      <c r="K25" s="63">
        <f t="shared" si="4"/>
        <v>250987.39380239049</v>
      </c>
      <c r="L25" s="64" t="str">
        <f t="shared" si="5"/>
        <v/>
      </c>
      <c r="M25" s="47">
        <f t="shared" si="3"/>
        <v>12872.772817874182</v>
      </c>
      <c r="N25">
        <f>SUM(I234:I245)</f>
        <v>428870.06220822479</v>
      </c>
    </row>
    <row r="26" spans="1:14" ht="12.75" customHeight="1" x14ac:dyDescent="0.35">
      <c r="A26" s="65">
        <v>2</v>
      </c>
      <c r="B26" s="58" t="s">
        <v>82</v>
      </c>
      <c r="C26" s="59">
        <f>Premissas!$C$32+0.6666666667*(Premissas!$C$33-Premissas!$C$32)</f>
        <v>0.95566666666589994</v>
      </c>
      <c r="D26" s="60">
        <f>(1+Premissas!$C$26)^(1)</f>
        <v>1.08</v>
      </c>
      <c r="E26" s="61">
        <f>Dimensionador!$C$22*(Premissas!$C$32+0.6666666667*(Premissas!$C$33-Premissas!$C$32))*Premissas!$C$21*(1+Premissas!$C$26)^(1)</f>
        <v>14204.973686397085</v>
      </c>
      <c r="F26" s="61">
        <f>Dimensionador!$C$23*(Premissas!$C$32+0.6666666667*(Premissas!$C$33-Premissas!$C$32))*Premissas!$C$20*(1+Premissas!$C$26)^(1)</f>
        <v>689.80662738288152</v>
      </c>
      <c r="G26" s="61">
        <f>Premissas!$C$25*(1+Premissas!$C$27)^(1)/12</f>
        <v>669.5</v>
      </c>
      <c r="H26" s="61">
        <f t="shared" si="0"/>
        <v>13515.167059014204</v>
      </c>
      <c r="I26" s="61">
        <f t="shared" si="1"/>
        <v>12845.667059014204</v>
      </c>
      <c r="J26" s="62">
        <f t="shared" si="2"/>
        <v>-256166.93913859536</v>
      </c>
      <c r="K26" s="63">
        <f t="shared" si="4"/>
        <v>263833.06086140469</v>
      </c>
      <c r="L26" s="64" t="str">
        <f t="shared" si="5"/>
        <v/>
      </c>
      <c r="M26" s="47">
        <f t="shared" si="3"/>
        <v>12845.667059014204</v>
      </c>
    </row>
    <row r="27" spans="1:14" ht="12.75" customHeight="1" x14ac:dyDescent="0.35">
      <c r="A27" s="65">
        <v>2</v>
      </c>
      <c r="B27" s="58" t="s">
        <v>83</v>
      </c>
      <c r="C27" s="59">
        <f>Premissas!$C$32+0.75*(Premissas!$C$33-Premissas!$C$32)</f>
        <v>0.95374999999999999</v>
      </c>
      <c r="D27" s="60">
        <f>(1+Premissas!$C$26)^(1)</f>
        <v>1.08</v>
      </c>
      <c r="E27" s="61">
        <f>Dimensionador!$C$22*(Premissas!$C$32+0.75*(Premissas!$C$33-Premissas!$C$32))*Premissas!$C$21*(1+Premissas!$C$26)^(1)</f>
        <v>14176.48446467955</v>
      </c>
      <c r="F27" s="61">
        <f>Dimensionador!$C$23*(Premissas!$C$32+0.75*(Premissas!$C$33-Premissas!$C$32))*Premissas!$C$20*(1+Premissas!$C$26)^(1)</f>
        <v>688.42316449279849</v>
      </c>
      <c r="G27" s="61">
        <f>Premissas!$C$25*(1+Premissas!$C$27)^(1)/12</f>
        <v>669.5</v>
      </c>
      <c r="H27" s="61">
        <f t="shared" si="0"/>
        <v>13488.061300186751</v>
      </c>
      <c r="I27" s="61">
        <f t="shared" si="1"/>
        <v>12818.561300186751</v>
      </c>
      <c r="J27" s="62">
        <f t="shared" si="2"/>
        <v>-243348.3778384086</v>
      </c>
      <c r="K27" s="63">
        <f t="shared" si="4"/>
        <v>276651.62216159143</v>
      </c>
      <c r="L27" s="64" t="str">
        <f t="shared" si="5"/>
        <v/>
      </c>
      <c r="M27" s="47">
        <f t="shared" si="3"/>
        <v>12818.561300186751</v>
      </c>
    </row>
    <row r="28" spans="1:14" ht="12.75" customHeight="1" x14ac:dyDescent="0.35">
      <c r="A28" s="65">
        <v>2</v>
      </c>
      <c r="B28" s="58" t="s">
        <v>84</v>
      </c>
      <c r="C28" s="59">
        <f>Premissas!$C$32+0.8333333333*(Premissas!$C$33-Premissas!$C$32)</f>
        <v>0.95183333333409992</v>
      </c>
      <c r="D28" s="60">
        <f>(1+Premissas!$C$26)^(1)</f>
        <v>1.08</v>
      </c>
      <c r="E28" s="61">
        <f>Dimensionador!$C$22*(Premissas!$C$32+0.8333333333*(Premissas!$C$33-Premissas!$C$32))*Premissas!$C$21*(1+Premissas!$C$26)^(1)</f>
        <v>14147.995242962012</v>
      </c>
      <c r="F28" s="61">
        <f>Dimensionador!$C$23*(Premissas!$C$32+0.8333333333*(Premissas!$C$33-Premissas!$C$32))*Premissas!$C$20*(1+Premissas!$C$26)^(1)</f>
        <v>687.03970160271524</v>
      </c>
      <c r="G28" s="61">
        <f>Premissas!$C$25*(1+Premissas!$C$27)^(1)/12</f>
        <v>669.5</v>
      </c>
      <c r="H28" s="61">
        <f t="shared" si="0"/>
        <v>13460.955541359297</v>
      </c>
      <c r="I28" s="61">
        <f t="shared" si="1"/>
        <v>12791.455541359297</v>
      </c>
      <c r="J28" s="62">
        <f t="shared" si="2"/>
        <v>-230556.92229704931</v>
      </c>
      <c r="K28" s="63">
        <f t="shared" si="4"/>
        <v>289443.07770295074</v>
      </c>
      <c r="L28" s="64" t="str">
        <f t="shared" si="5"/>
        <v/>
      </c>
      <c r="M28" s="47">
        <f t="shared" si="3"/>
        <v>12791.455541359297</v>
      </c>
    </row>
    <row r="29" spans="1:14" ht="12.75" customHeight="1" x14ac:dyDescent="0.35">
      <c r="A29" s="66">
        <v>2</v>
      </c>
      <c r="B29" s="67" t="s">
        <v>85</v>
      </c>
      <c r="C29" s="68">
        <f>Premissas!$C$32+0.9166666667*(Premissas!$C$33-Premissas!$C$32)</f>
        <v>0.94991666666589991</v>
      </c>
      <c r="D29" s="69">
        <f>(1+Premissas!$C$26)^(1)</f>
        <v>1.08</v>
      </c>
      <c r="E29" s="70">
        <f>Dimensionador!$C$22*(Premissas!$C$32+0.9166666667*(Premissas!$C$33-Premissas!$C$32))*Premissas!$C$21*(1+Premissas!$C$26)^(1)</f>
        <v>14119.506021210287</v>
      </c>
      <c r="F29" s="70">
        <f>Dimensionador!$C$23*(Premissas!$C$32+0.9166666667*(Premissas!$C$33-Premissas!$C$32))*Premissas!$C$20*(1+Premissas!$C$26)^(1)</f>
        <v>685.65623871097205</v>
      </c>
      <c r="G29" s="70">
        <f>Premissas!$C$25*(1+Premissas!$C$27)^(1)/12</f>
        <v>669.5</v>
      </c>
      <c r="H29" s="70">
        <f t="shared" si="0"/>
        <v>13433.849782499316</v>
      </c>
      <c r="I29" s="70">
        <f t="shared" si="1"/>
        <v>12764.349782499316</v>
      </c>
      <c r="J29" s="71">
        <f t="shared" si="2"/>
        <v>-217792.57251455</v>
      </c>
      <c r="K29" s="72">
        <f t="shared" si="4"/>
        <v>302207.42748545005</v>
      </c>
      <c r="L29" s="73" t="str">
        <f t="shared" si="5"/>
        <v/>
      </c>
      <c r="M29" s="47">
        <f t="shared" si="3"/>
        <v>12764.349782499316</v>
      </c>
    </row>
    <row r="30" spans="1:14" ht="12.75" customHeight="1" x14ac:dyDescent="0.35">
      <c r="A30" s="39">
        <v>3</v>
      </c>
      <c r="B30" s="40" t="s">
        <v>73</v>
      </c>
      <c r="C30" s="41">
        <f>Premissas!$C$33+0*(Premissas!$C$34-Premissas!$C$33)</f>
        <v>0.94799999999999995</v>
      </c>
      <c r="D30" s="42">
        <f>(1+Premissas!$C$26)^(2)</f>
        <v>1.1664000000000001</v>
      </c>
      <c r="E30" s="43">
        <f>Dimensionador!$C$22*(Premissas!$C$33+0*(Premissas!$C$34-Premissas!$C$33))*Premissas!$C$21*(1+Premissas!$C$26)^(2)</f>
        <v>15218.298143452172</v>
      </c>
      <c r="F30" s="43">
        <f>Dimensionador!$C$23*(Premissas!$C$33+0*(Premissas!$C$34-Premissas!$C$33))*Premissas!$C$20*(1+Premissas!$C$26)^(2)</f>
        <v>739.01459788656007</v>
      </c>
      <c r="G30" s="43">
        <f>Premissas!$C$25*(1+Premissas!$C$27)^(2)/12</f>
        <v>689.58500000000004</v>
      </c>
      <c r="H30" s="43">
        <f t="shared" si="0"/>
        <v>14479.283545565611</v>
      </c>
      <c r="I30" s="43">
        <f t="shared" si="1"/>
        <v>13789.69854556561</v>
      </c>
      <c r="J30" s="44">
        <f t="shared" si="2"/>
        <v>-204002.87396898441</v>
      </c>
      <c r="K30" s="45">
        <f t="shared" si="4"/>
        <v>315997.12603101565</v>
      </c>
      <c r="L30" s="46" t="str">
        <f t="shared" si="5"/>
        <v/>
      </c>
      <c r="M30" s="47">
        <f t="shared" si="3"/>
        <v>13789.69854556561</v>
      </c>
    </row>
    <row r="31" spans="1:14" ht="12.75" customHeight="1" x14ac:dyDescent="0.35">
      <c r="A31" s="48">
        <v>3</v>
      </c>
      <c r="B31" s="40" t="s">
        <v>75</v>
      </c>
      <c r="C31" s="41">
        <f>Premissas!$C$33+0.0833333333*(Premissas!$C$34-Premissas!$C$33)</f>
        <v>0.94625000000069992</v>
      </c>
      <c r="D31" s="42">
        <f>(1+Premissas!$C$26)^(2)</f>
        <v>1.1664000000000001</v>
      </c>
      <c r="E31" s="43">
        <f>Dimensionador!$C$22*(Premissas!$C$33+0.0833333333*(Premissas!$C$34-Premissas!$C$33))*Premissas!$C$21*(1+Premissas!$C$26)^(2)</f>
        <v>15190.205293515053</v>
      </c>
      <c r="F31" s="43">
        <f>Dimensionador!$C$23*(Premissas!$C$33+0.0833333333*(Premissas!$C$34-Premissas!$C$33))*Premissas!$C$20*(1+Premissas!$C$26)^(2)</f>
        <v>737.65038317581718</v>
      </c>
      <c r="G31" s="43">
        <f>Premissas!$C$25*(1+Premissas!$C$27)^(2)/12</f>
        <v>689.58500000000004</v>
      </c>
      <c r="H31" s="43">
        <f t="shared" si="0"/>
        <v>14452.554910339237</v>
      </c>
      <c r="I31" s="43">
        <f t="shared" si="1"/>
        <v>13762.969910339238</v>
      </c>
      <c r="J31" s="44">
        <f t="shared" si="2"/>
        <v>-190239.90405864516</v>
      </c>
      <c r="K31" s="45">
        <f t="shared" si="4"/>
        <v>329760.09594135487</v>
      </c>
      <c r="L31" s="46" t="str">
        <f t="shared" si="5"/>
        <v/>
      </c>
      <c r="M31" s="47">
        <f t="shared" si="3"/>
        <v>13762.969910339238</v>
      </c>
    </row>
    <row r="32" spans="1:14" ht="12.75" customHeight="1" x14ac:dyDescent="0.35">
      <c r="A32" s="48">
        <v>3</v>
      </c>
      <c r="B32" s="40" t="s">
        <v>76</v>
      </c>
      <c r="C32" s="41">
        <f>Premissas!$C$33+0.1666666667*(Premissas!$C$34-Premissas!$C$33)</f>
        <v>0.94449999999930001</v>
      </c>
      <c r="D32" s="42">
        <f>(1+Premissas!$C$26)^(2)</f>
        <v>1.1664000000000001</v>
      </c>
      <c r="E32" s="43">
        <f>Dimensionador!$C$22*(Premissas!$C$33+0.1666666667*(Premissas!$C$34-Premissas!$C$33))*Premissas!$C$21*(1+Premissas!$C$26)^(2)</f>
        <v>15162.112443544225</v>
      </c>
      <c r="F32" s="43">
        <f>Dimensionador!$C$23*(Premissas!$C$33+0.1666666667*(Premissas!$C$34-Premissas!$C$33))*Premissas!$C$20*(1+Premissas!$C$26)^(2)</f>
        <v>736.28616846343766</v>
      </c>
      <c r="G32" s="43">
        <f>Premissas!$C$25*(1+Premissas!$C$27)^(2)/12</f>
        <v>689.58500000000004</v>
      </c>
      <c r="H32" s="43">
        <f t="shared" si="0"/>
        <v>14425.826275080788</v>
      </c>
      <c r="I32" s="43">
        <f t="shared" si="1"/>
        <v>13736.241275080789</v>
      </c>
      <c r="J32" s="44">
        <f t="shared" si="2"/>
        <v>-176503.66278356436</v>
      </c>
      <c r="K32" s="45">
        <f t="shared" si="4"/>
        <v>343496.33721643564</v>
      </c>
      <c r="L32" s="46" t="str">
        <f t="shared" si="5"/>
        <v/>
      </c>
      <c r="M32" s="47">
        <f t="shared" si="3"/>
        <v>13736.241275080789</v>
      </c>
    </row>
    <row r="33" spans="1:13" ht="12.75" customHeight="1" x14ac:dyDescent="0.35">
      <c r="A33" s="48">
        <v>3</v>
      </c>
      <c r="B33" s="40" t="s">
        <v>77</v>
      </c>
      <c r="C33" s="41">
        <f>Premissas!$C$33+0.25*(Premissas!$C$34-Premissas!$C$33)</f>
        <v>0.94274999999999998</v>
      </c>
      <c r="D33" s="42">
        <f>(1+Premissas!$C$26)^(2)</f>
        <v>1.1664000000000001</v>
      </c>
      <c r="E33" s="43">
        <f>Dimensionador!$C$22*(Premissas!$C$33+0.25*(Premissas!$C$34-Premissas!$C$33))*Premissas!$C$21*(1+Premissas!$C$26)^(2)</f>
        <v>15134.019593607105</v>
      </c>
      <c r="F33" s="43">
        <f>Dimensionador!$C$23*(Premissas!$C$33+0.25*(Premissas!$C$34-Premissas!$C$33))*Premissas!$C$20*(1+Premissas!$C$26)^(2)</f>
        <v>734.92195375269478</v>
      </c>
      <c r="G33" s="43">
        <f>Premissas!$C$25*(1+Premissas!$C$27)^(2)/12</f>
        <v>689.58500000000004</v>
      </c>
      <c r="H33" s="43">
        <f t="shared" si="0"/>
        <v>14399.09763985441</v>
      </c>
      <c r="I33" s="43">
        <f t="shared" si="1"/>
        <v>13709.512639854409</v>
      </c>
      <c r="J33" s="44">
        <f t="shared" si="2"/>
        <v>-162794.15014370997</v>
      </c>
      <c r="K33" s="45">
        <f t="shared" si="4"/>
        <v>357205.84985629003</v>
      </c>
      <c r="L33" s="46" t="str">
        <f t="shared" si="5"/>
        <v/>
      </c>
      <c r="M33" s="47">
        <f t="shared" si="3"/>
        <v>13709.512639854409</v>
      </c>
    </row>
    <row r="34" spans="1:13" ht="12.75" customHeight="1" x14ac:dyDescent="0.35">
      <c r="A34" s="48">
        <v>3</v>
      </c>
      <c r="B34" s="40" t="s">
        <v>78</v>
      </c>
      <c r="C34" s="41">
        <f>Premissas!$C$33+0.3333333333*(Premissas!$C$34-Premissas!$C$33)</f>
        <v>0.94100000000069994</v>
      </c>
      <c r="D34" s="42">
        <f>(1+Premissas!$C$26)^(2)</f>
        <v>1.1664000000000001</v>
      </c>
      <c r="E34" s="43">
        <f>Dimensionador!$C$22*(Premissas!$C$33+0.3333333333*(Premissas!$C$34-Premissas!$C$33))*Premissas!$C$21*(1+Premissas!$C$26)^(2)</f>
        <v>15105.926743669988</v>
      </c>
      <c r="F34" s="43">
        <f>Dimensionador!$C$23*(Premissas!$C$33+0.3333333333*(Premissas!$C$34-Premissas!$C$33))*Premissas!$C$20*(1+Premissas!$C$26)^(2)</f>
        <v>733.55773904195189</v>
      </c>
      <c r="G34" s="43">
        <f>Premissas!$C$25*(1+Premissas!$C$27)^(2)/12</f>
        <v>689.58500000000004</v>
      </c>
      <c r="H34" s="43">
        <f t="shared" si="0"/>
        <v>14372.369004628037</v>
      </c>
      <c r="I34" s="43">
        <f t="shared" si="1"/>
        <v>13682.784004628036</v>
      </c>
      <c r="J34" s="44">
        <f t="shared" si="2"/>
        <v>-149111.36613908192</v>
      </c>
      <c r="K34" s="45">
        <f t="shared" si="4"/>
        <v>370888.63386091805</v>
      </c>
      <c r="L34" s="46" t="str">
        <f t="shared" si="5"/>
        <v/>
      </c>
      <c r="M34" s="47">
        <f t="shared" si="3"/>
        <v>13682.784004628036</v>
      </c>
    </row>
    <row r="35" spans="1:13" ht="12.75" customHeight="1" x14ac:dyDescent="0.35">
      <c r="A35" s="48">
        <v>3</v>
      </c>
      <c r="B35" s="40" t="s">
        <v>79</v>
      </c>
      <c r="C35" s="41">
        <f>Premissas!$C$33+0.4166666667*(Premissas!$C$34-Premissas!$C$33)</f>
        <v>0.93924999999930003</v>
      </c>
      <c r="D35" s="42">
        <f>(1+Premissas!$C$26)^(2)</f>
        <v>1.1664000000000001</v>
      </c>
      <c r="E35" s="43">
        <f>Dimensionador!$C$22*(Premissas!$C$33+0.4166666667*(Premissas!$C$34-Premissas!$C$33))*Premissas!$C$21*(1+Premissas!$C$26)^(2)</f>
        <v>15077.83389369916</v>
      </c>
      <c r="F35" s="43">
        <f>Dimensionador!$C$23*(Premissas!$C$33+0.4166666667*(Premissas!$C$34-Premissas!$C$33))*Premissas!$C$20*(1+Premissas!$C$26)^(2)</f>
        <v>732.19352432957214</v>
      </c>
      <c r="G35" s="43">
        <f>Premissas!$C$25*(1+Premissas!$C$27)^(2)/12</f>
        <v>689.58500000000004</v>
      </c>
      <c r="H35" s="43">
        <f t="shared" si="0"/>
        <v>14345.640369369588</v>
      </c>
      <c r="I35" s="43">
        <f t="shared" si="1"/>
        <v>13656.055369369587</v>
      </c>
      <c r="J35" s="44">
        <f t="shared" si="2"/>
        <v>-135455.31076971232</v>
      </c>
      <c r="K35" s="45">
        <f t="shared" si="4"/>
        <v>384544.68923028762</v>
      </c>
      <c r="L35" s="46" t="str">
        <f t="shared" si="5"/>
        <v/>
      </c>
      <c r="M35" s="47">
        <f t="shared" si="3"/>
        <v>13656.055369369587</v>
      </c>
    </row>
    <row r="36" spans="1:13" ht="12.75" customHeight="1" x14ac:dyDescent="0.35">
      <c r="A36" s="48">
        <v>3</v>
      </c>
      <c r="B36" s="40" t="s">
        <v>80</v>
      </c>
      <c r="C36" s="41">
        <f>Premissas!$C$33+0.5*(Premissas!$C$34-Premissas!$C$33)</f>
        <v>0.9375</v>
      </c>
      <c r="D36" s="42">
        <f>(1+Premissas!$C$26)^(2)</f>
        <v>1.1664000000000001</v>
      </c>
      <c r="E36" s="43">
        <f>Dimensionador!$C$22*(Premissas!$C$33+0.5*(Premissas!$C$34-Premissas!$C$33))*Premissas!$C$21*(1+Premissas!$C$26)^(2)</f>
        <v>15049.741043762038</v>
      </c>
      <c r="F36" s="43">
        <f>Dimensionador!$C$23*(Premissas!$C$33+0.5*(Premissas!$C$34-Premissas!$C$33))*Premissas!$C$20*(1+Premissas!$C$26)^(2)</f>
        <v>730.82930961882926</v>
      </c>
      <c r="G36" s="43">
        <f>Premissas!$C$25*(1+Premissas!$C$27)^(2)/12</f>
        <v>689.58500000000004</v>
      </c>
      <c r="H36" s="43">
        <f t="shared" si="0"/>
        <v>14318.911734143208</v>
      </c>
      <c r="I36" s="43">
        <f t="shared" si="1"/>
        <v>13629.326734143207</v>
      </c>
      <c r="J36" s="44">
        <f t="shared" si="2"/>
        <v>-121825.98403556911</v>
      </c>
      <c r="K36" s="45">
        <f t="shared" si="4"/>
        <v>398174.01596443082</v>
      </c>
      <c r="L36" s="46" t="str">
        <f t="shared" si="5"/>
        <v/>
      </c>
      <c r="M36" s="47">
        <f t="shared" si="3"/>
        <v>13629.326734143207</v>
      </c>
    </row>
    <row r="37" spans="1:13" ht="12.75" customHeight="1" x14ac:dyDescent="0.35">
      <c r="A37" s="48">
        <v>3</v>
      </c>
      <c r="B37" s="40" t="s">
        <v>81</v>
      </c>
      <c r="C37" s="41">
        <f>Premissas!$C$33+0.5833333333*(Premissas!$C$34-Premissas!$C$33)</f>
        <v>0.93575000000069997</v>
      </c>
      <c r="D37" s="42">
        <f>(1+Premissas!$C$26)^(2)</f>
        <v>1.1664000000000001</v>
      </c>
      <c r="E37" s="43">
        <f>Dimensionador!$C$22*(Premissas!$C$33+0.5833333333*(Premissas!$C$34-Premissas!$C$33))*Premissas!$C$21*(1+Premissas!$C$26)^(2)</f>
        <v>15021.64819382492</v>
      </c>
      <c r="F37" s="43">
        <f>Dimensionador!$C$23*(Premissas!$C$33+0.5833333333*(Premissas!$C$34-Premissas!$C$33))*Premissas!$C$20*(1+Premissas!$C$26)^(2)</f>
        <v>729.46509490808648</v>
      </c>
      <c r="G37" s="43">
        <f>Premissas!$C$25*(1+Premissas!$C$27)^(2)/12</f>
        <v>689.58500000000004</v>
      </c>
      <c r="H37" s="43">
        <f t="shared" si="0"/>
        <v>14292.183098916834</v>
      </c>
      <c r="I37" s="43">
        <f t="shared" si="1"/>
        <v>13602.598098916835</v>
      </c>
      <c r="J37" s="44">
        <f t="shared" si="2"/>
        <v>-108223.38593665228</v>
      </c>
      <c r="K37" s="45">
        <f t="shared" si="4"/>
        <v>411776.61406334763</v>
      </c>
      <c r="L37" s="46" t="str">
        <f t="shared" si="5"/>
        <v/>
      </c>
      <c r="M37" s="47">
        <f t="shared" si="3"/>
        <v>13602.598098916835</v>
      </c>
    </row>
    <row r="38" spans="1:13" ht="12.75" customHeight="1" x14ac:dyDescent="0.35">
      <c r="A38" s="48">
        <v>3</v>
      </c>
      <c r="B38" s="40" t="s">
        <v>82</v>
      </c>
      <c r="C38" s="41">
        <f>Premissas!$C$33+0.6666666667*(Premissas!$C$34-Premissas!$C$33)</f>
        <v>0.93399999999930006</v>
      </c>
      <c r="D38" s="42">
        <f>(1+Premissas!$C$26)^(2)</f>
        <v>1.1664000000000001</v>
      </c>
      <c r="E38" s="43">
        <f>Dimensionador!$C$22*(Premissas!$C$33+0.6666666667*(Premissas!$C$34-Premissas!$C$33))*Premissas!$C$21*(1+Premissas!$C$26)^(2)</f>
        <v>14993.555343854092</v>
      </c>
      <c r="F38" s="43">
        <f>Dimensionador!$C$23*(Premissas!$C$33+0.6666666667*(Premissas!$C$34-Premissas!$C$33))*Premissas!$C$20*(1+Premissas!$C$26)^(2)</f>
        <v>728.10088019570662</v>
      </c>
      <c r="G38" s="43">
        <f>Premissas!$C$25*(1+Premissas!$C$27)^(2)/12</f>
        <v>689.58500000000004</v>
      </c>
      <c r="H38" s="43">
        <f t="shared" si="0"/>
        <v>14265.454463658385</v>
      </c>
      <c r="I38" s="43">
        <f t="shared" si="1"/>
        <v>13575.869463658386</v>
      </c>
      <c r="J38" s="44">
        <f t="shared" si="2"/>
        <v>-94647.516472993899</v>
      </c>
      <c r="K38" s="45">
        <f t="shared" si="4"/>
        <v>425352.483527006</v>
      </c>
      <c r="L38" s="46" t="str">
        <f t="shared" si="5"/>
        <v/>
      </c>
      <c r="M38" s="47">
        <f t="shared" si="3"/>
        <v>13575.869463658386</v>
      </c>
    </row>
    <row r="39" spans="1:13" ht="12.75" customHeight="1" x14ac:dyDescent="0.35">
      <c r="A39" s="48">
        <v>3</v>
      </c>
      <c r="B39" s="40" t="s">
        <v>83</v>
      </c>
      <c r="C39" s="41">
        <f>Premissas!$C$33+0.75*(Premissas!$C$34-Premissas!$C$33)</f>
        <v>0.93225000000000002</v>
      </c>
      <c r="D39" s="42">
        <f>(1+Premissas!$C$26)^(2)</f>
        <v>1.1664000000000001</v>
      </c>
      <c r="E39" s="43">
        <f>Dimensionador!$C$22*(Premissas!$C$33+0.75*(Premissas!$C$34-Premissas!$C$33))*Premissas!$C$21*(1+Premissas!$C$26)^(2)</f>
        <v>14965.462493916972</v>
      </c>
      <c r="F39" s="43">
        <f>Dimensionador!$C$23*(Premissas!$C$33+0.75*(Premissas!$C$34-Premissas!$C$33))*Premissas!$C$20*(1+Premissas!$C$26)^(2)</f>
        <v>726.73666548496385</v>
      </c>
      <c r="G39" s="43">
        <f>Premissas!$C$25*(1+Premissas!$C$27)^(2)/12</f>
        <v>689.58500000000004</v>
      </c>
      <c r="H39" s="43">
        <f t="shared" si="0"/>
        <v>14238.725828432009</v>
      </c>
      <c r="I39" s="43">
        <f t="shared" si="1"/>
        <v>13549.14082843201</v>
      </c>
      <c r="J39" s="44">
        <f t="shared" si="2"/>
        <v>-81098.375644561893</v>
      </c>
      <c r="K39" s="45">
        <f t="shared" si="4"/>
        <v>438901.62435543799</v>
      </c>
      <c r="L39" s="46" t="str">
        <f t="shared" si="5"/>
        <v/>
      </c>
      <c r="M39" s="47">
        <f t="shared" si="3"/>
        <v>13549.14082843201</v>
      </c>
    </row>
    <row r="40" spans="1:13" ht="12.75" customHeight="1" x14ac:dyDescent="0.35">
      <c r="A40" s="48">
        <v>3</v>
      </c>
      <c r="B40" s="40" t="s">
        <v>84</v>
      </c>
      <c r="C40" s="41">
        <f>Premissas!$C$33+0.8333333333*(Premissas!$C$34-Premissas!$C$33)</f>
        <v>0.93050000000069999</v>
      </c>
      <c r="D40" s="42">
        <f>(1+Premissas!$C$26)^(2)</f>
        <v>1.1664000000000001</v>
      </c>
      <c r="E40" s="43">
        <f>Dimensionador!$C$22*(Premissas!$C$33+0.8333333333*(Premissas!$C$34-Premissas!$C$33))*Premissas!$C$21*(1+Premissas!$C$26)^(2)</f>
        <v>14937.369643979855</v>
      </c>
      <c r="F40" s="43">
        <f>Dimensionador!$C$23*(Premissas!$C$33+0.8333333333*(Premissas!$C$34-Premissas!$C$33))*Premissas!$C$20*(1+Premissas!$C$26)^(2)</f>
        <v>725.37245077422097</v>
      </c>
      <c r="G40" s="43">
        <f>Premissas!$C$25*(1+Premissas!$C$27)^(2)/12</f>
        <v>689.58500000000004</v>
      </c>
      <c r="H40" s="43">
        <f t="shared" si="0"/>
        <v>14211.997193205634</v>
      </c>
      <c r="I40" s="43">
        <f t="shared" si="1"/>
        <v>13522.412193205633</v>
      </c>
      <c r="J40" s="44">
        <f t="shared" si="2"/>
        <v>-67575.963451356263</v>
      </c>
      <c r="K40" s="45">
        <f t="shared" si="4"/>
        <v>452424.03654864361</v>
      </c>
      <c r="L40" s="46" t="str">
        <f t="shared" si="5"/>
        <v/>
      </c>
      <c r="M40" s="47">
        <f t="shared" si="3"/>
        <v>13522.412193205633</v>
      </c>
    </row>
    <row r="41" spans="1:13" ht="12.75" customHeight="1" x14ac:dyDescent="0.35">
      <c r="A41" s="49">
        <v>3</v>
      </c>
      <c r="B41" s="50" t="s">
        <v>85</v>
      </c>
      <c r="C41" s="51">
        <f>Premissas!$C$33+0.9166666667*(Premissas!$C$34-Premissas!$C$33)</f>
        <v>0.92874999999930008</v>
      </c>
      <c r="D41" s="52">
        <f>(1+Premissas!$C$26)^(2)</f>
        <v>1.1664000000000001</v>
      </c>
      <c r="E41" s="53">
        <f>Dimensionador!$C$22*(Premissas!$C$33+0.9166666667*(Premissas!$C$34-Premissas!$C$33))*Premissas!$C$21*(1+Premissas!$C$26)^(2)</f>
        <v>14909.276794009023</v>
      </c>
      <c r="F41" s="53">
        <f>Dimensionador!$C$23*(Premissas!$C$33+0.9166666667*(Premissas!$C$34-Premissas!$C$33))*Premissas!$C$20*(1+Premissas!$C$26)^(2)</f>
        <v>724.00823606184122</v>
      </c>
      <c r="G41" s="53">
        <f>Premissas!$C$25*(1+Premissas!$C$27)^(2)/12</f>
        <v>689.58500000000004</v>
      </c>
      <c r="H41" s="53">
        <f t="shared" si="0"/>
        <v>14185.268557947182</v>
      </c>
      <c r="I41" s="53">
        <f t="shared" si="1"/>
        <v>13495.683557947181</v>
      </c>
      <c r="J41" s="54">
        <f t="shared" si="2"/>
        <v>-54080.279893409082</v>
      </c>
      <c r="K41" s="55">
        <f t="shared" si="4"/>
        <v>465919.72010659077</v>
      </c>
      <c r="L41" s="56" t="str">
        <f t="shared" si="5"/>
        <v/>
      </c>
      <c r="M41" s="47">
        <f t="shared" si="3"/>
        <v>13495.683557947181</v>
      </c>
    </row>
    <row r="42" spans="1:13" ht="12.75" customHeight="1" x14ac:dyDescent="0.35">
      <c r="A42" s="57">
        <v>4</v>
      </c>
      <c r="B42" s="58" t="s">
        <v>73</v>
      </c>
      <c r="C42" s="59">
        <f>Premissas!$C$34+0*(Premissas!$C$35-Premissas!$C$34)</f>
        <v>0.92700000000000005</v>
      </c>
      <c r="D42" s="60">
        <f>(1+Premissas!$C$26)^(3)</f>
        <v>1.2597120000000002</v>
      </c>
      <c r="E42" s="61">
        <f>Dimensionador!$C$22*(Premissas!$C$34+0*(Premissas!$C$35-Premissas!$C$34))*Premissas!$C$21*(1+Premissas!$C$26)^(3)</f>
        <v>16071.678659597655</v>
      </c>
      <c r="F42" s="61">
        <f>Dimensionador!$C$23*(Premissas!$C$34+0*(Premissas!$C$35-Premissas!$C$34))*Premissas!$C$20*(1+Premissas!$C$26)^(3)</f>
        <v>780.45554305918631</v>
      </c>
      <c r="G42" s="61">
        <f>Premissas!$C$25*(1+Premissas!$C$27)^(3)/12</f>
        <v>710.27255000000002</v>
      </c>
      <c r="H42" s="61">
        <f t="shared" si="0"/>
        <v>15291.223116538469</v>
      </c>
      <c r="I42" s="61">
        <f t="shared" si="1"/>
        <v>14580.95056653847</v>
      </c>
      <c r="J42" s="62">
        <f t="shared" si="2"/>
        <v>-39499.329326870611</v>
      </c>
      <c r="K42" s="63">
        <f t="shared" si="4"/>
        <v>480500.67067312927</v>
      </c>
      <c r="L42" s="64" t="str">
        <f t="shared" si="5"/>
        <v/>
      </c>
      <c r="M42" s="47">
        <f t="shared" si="3"/>
        <v>14580.95056653847</v>
      </c>
    </row>
    <row r="43" spans="1:13" ht="12.75" customHeight="1" x14ac:dyDescent="0.35">
      <c r="A43" s="65">
        <v>4</v>
      </c>
      <c r="B43" s="58" t="s">
        <v>75</v>
      </c>
      <c r="C43" s="59">
        <f>Premissas!$C$34+0.0833333333*(Premissas!$C$35-Premissas!$C$34)</f>
        <v>0.92533333333400003</v>
      </c>
      <c r="D43" s="60">
        <f>(1+Premissas!$C$26)^(3)</f>
        <v>1.2597120000000002</v>
      </c>
      <c r="E43" s="61">
        <f>Dimensionador!$C$22*(Premissas!$C$34+0.0833333333*(Premissas!$C$35-Premissas!$C$34))*Premissas!$C$21*(1+Premissas!$C$26)^(3)</f>
        <v>16042.783156805192</v>
      </c>
      <c r="F43" s="61">
        <f>Dimensionador!$C$23*(Premissas!$C$34+0.0833333333*(Premissas!$C$35-Premissas!$C$34))*Premissas!$C$20*(1+Premissas!$C$26)^(3)</f>
        <v>779.05235078527937</v>
      </c>
      <c r="G43" s="61">
        <f>Premissas!$C$25*(1+Premissas!$C$27)^(3)/12</f>
        <v>710.27255000000002</v>
      </c>
      <c r="H43" s="61">
        <f t="shared" si="0"/>
        <v>15263.730806019912</v>
      </c>
      <c r="I43" s="61">
        <f t="shared" si="1"/>
        <v>14553.458256019912</v>
      </c>
      <c r="J43" s="62">
        <f t="shared" si="2"/>
        <v>-24945.871070850699</v>
      </c>
      <c r="K43" s="63">
        <f t="shared" si="4"/>
        <v>495054.12892914918</v>
      </c>
      <c r="L43" s="64" t="str">
        <f t="shared" si="5"/>
        <v/>
      </c>
      <c r="M43" s="47">
        <f t="shared" si="3"/>
        <v>14553.458256019912</v>
      </c>
    </row>
    <row r="44" spans="1:13" ht="12.75" customHeight="1" x14ac:dyDescent="0.35">
      <c r="A44" s="65">
        <v>4</v>
      </c>
      <c r="B44" s="58" t="s">
        <v>76</v>
      </c>
      <c r="C44" s="59">
        <f>Premissas!$C$34+0.1666666667*(Premissas!$C$35-Premissas!$C$34)</f>
        <v>0.92366666666600006</v>
      </c>
      <c r="D44" s="60">
        <f>(1+Premissas!$C$26)^(3)</f>
        <v>1.2597120000000002</v>
      </c>
      <c r="E44" s="61">
        <f>Dimensionador!$C$22*(Premissas!$C$34+0.1666666667*(Premissas!$C$35-Premissas!$C$34))*Premissas!$C$21*(1+Premissas!$C$26)^(3)</f>
        <v>16013.887653978054</v>
      </c>
      <c r="F44" s="61">
        <f>Dimensionador!$C$23*(Premissas!$C$34+0.1666666667*(Premissas!$C$35-Premissas!$C$34))*Premissas!$C$20*(1+Premissas!$C$26)^(3)</f>
        <v>777.64915850968862</v>
      </c>
      <c r="G44" s="61">
        <f>Premissas!$C$25*(1+Premissas!$C$27)^(3)/12</f>
        <v>710.27255000000002</v>
      </c>
      <c r="H44" s="61">
        <f t="shared" si="0"/>
        <v>15236.238495468366</v>
      </c>
      <c r="I44" s="61">
        <f t="shared" si="1"/>
        <v>14525.965945468366</v>
      </c>
      <c r="J44" s="62">
        <f t="shared" si="2"/>
        <v>-10419.905125382333</v>
      </c>
      <c r="K44" s="63">
        <f t="shared" si="4"/>
        <v>509580.09487461753</v>
      </c>
      <c r="L44" s="64" t="str">
        <f t="shared" si="5"/>
        <v/>
      </c>
      <c r="M44" s="47">
        <f t="shared" si="3"/>
        <v>14525.965945468366</v>
      </c>
    </row>
    <row r="45" spans="1:13" ht="12.75" customHeight="1" x14ac:dyDescent="0.35">
      <c r="A45" s="65">
        <v>4</v>
      </c>
      <c r="B45" s="58" t="s">
        <v>77</v>
      </c>
      <c r="C45" s="59">
        <f>Premissas!$C$34+0.25*(Premissas!$C$35-Premissas!$C$34)</f>
        <v>0.92200000000000004</v>
      </c>
      <c r="D45" s="60">
        <f>(1+Premissas!$C$26)^(3)</f>
        <v>1.2597120000000002</v>
      </c>
      <c r="E45" s="61">
        <f>Dimensionador!$C$22*(Premissas!$C$34+0.25*(Premissas!$C$35-Premissas!$C$34))*Premissas!$C$21*(1+Premissas!$C$26)^(3)</f>
        <v>15984.992151185588</v>
      </c>
      <c r="F45" s="61">
        <f>Dimensionador!$C$23*(Premissas!$C$34+0.25*(Premissas!$C$35-Premissas!$C$34))*Premissas!$C$20*(1+Premissas!$C$26)^(3)</f>
        <v>776.24596623578179</v>
      </c>
      <c r="G45" s="61">
        <f>Premissas!$C$25*(1+Premissas!$C$27)^(3)/12</f>
        <v>710.27255000000002</v>
      </c>
      <c r="H45" s="61">
        <f t="shared" si="0"/>
        <v>15208.746184949807</v>
      </c>
      <c r="I45" s="61">
        <f t="shared" si="1"/>
        <v>14498.473634949807</v>
      </c>
      <c r="J45" s="62">
        <f t="shared" si="2"/>
        <v>4078.5685095674744</v>
      </c>
      <c r="K45" s="63">
        <f t="shared" si="4"/>
        <v>524078.56850956735</v>
      </c>
      <c r="L45" s="64" t="str">
        <f t="shared" si="5"/>
        <v>✅ PAYBACK</v>
      </c>
      <c r="M45" s="47">
        <f t="shared" si="3"/>
        <v>14498.473634949807</v>
      </c>
    </row>
    <row r="46" spans="1:13" ht="12.75" customHeight="1" x14ac:dyDescent="0.35">
      <c r="A46" s="65">
        <v>4</v>
      </c>
      <c r="B46" s="58" t="s">
        <v>78</v>
      </c>
      <c r="C46" s="59">
        <f>Premissas!$C$34+0.3333333333*(Premissas!$C$35-Premissas!$C$34)</f>
        <v>0.92033333333400003</v>
      </c>
      <c r="D46" s="60">
        <f>(1+Premissas!$C$26)^(3)</f>
        <v>1.2597120000000002</v>
      </c>
      <c r="E46" s="61">
        <f>Dimensionador!$C$22*(Premissas!$C$34+0.3333333333*(Premissas!$C$35-Premissas!$C$34))*Premissas!$C$21*(1+Premissas!$C$26)^(3)</f>
        <v>15956.096648393124</v>
      </c>
      <c r="F46" s="61">
        <f>Dimensionador!$C$23*(Premissas!$C$34+0.3333333333*(Premissas!$C$35-Premissas!$C$34))*Premissas!$C$20*(1+Premissas!$C$26)^(3)</f>
        <v>774.84277396187508</v>
      </c>
      <c r="G46" s="61">
        <f>Premissas!$C$25*(1+Premissas!$C$27)^(3)/12</f>
        <v>710.27255000000002</v>
      </c>
      <c r="H46" s="61">
        <f t="shared" si="0"/>
        <v>15181.25387443125</v>
      </c>
      <c r="I46" s="61">
        <f t="shared" si="1"/>
        <v>14470.98132443125</v>
      </c>
      <c r="J46" s="62">
        <f t="shared" si="2"/>
        <v>18549.549833998724</v>
      </c>
      <c r="K46" s="63">
        <f t="shared" si="4"/>
        <v>538549.54983399855</v>
      </c>
      <c r="L46" s="64" t="str">
        <f t="shared" si="5"/>
        <v/>
      </c>
      <c r="M46" s="47">
        <f t="shared" si="3"/>
        <v>14470.98132443125</v>
      </c>
    </row>
    <row r="47" spans="1:13" ht="12.75" customHeight="1" x14ac:dyDescent="0.35">
      <c r="A47" s="65">
        <v>4</v>
      </c>
      <c r="B47" s="58" t="s">
        <v>79</v>
      </c>
      <c r="C47" s="59">
        <f>Premissas!$C$34+0.4166666667*(Premissas!$C$35-Premissas!$C$34)</f>
        <v>0.91866666666600005</v>
      </c>
      <c r="D47" s="60">
        <f>(1+Premissas!$C$26)^(3)</f>
        <v>1.2597120000000002</v>
      </c>
      <c r="E47" s="61">
        <f>Dimensionador!$C$22*(Premissas!$C$34+0.4166666667*(Premissas!$C$35-Premissas!$C$34))*Premissas!$C$21*(1+Premissas!$C$26)^(3)</f>
        <v>15927.201145565983</v>
      </c>
      <c r="F47" s="61">
        <f>Dimensionador!$C$23*(Premissas!$C$34+0.4166666667*(Premissas!$C$35-Premissas!$C$34))*Premissas!$C$20*(1+Premissas!$C$26)^(3)</f>
        <v>773.43958168628433</v>
      </c>
      <c r="G47" s="61">
        <f>Premissas!$C$25*(1+Premissas!$C$27)^(3)/12</f>
        <v>710.27255000000002</v>
      </c>
      <c r="H47" s="61">
        <f t="shared" si="0"/>
        <v>15153.7615638797</v>
      </c>
      <c r="I47" s="61">
        <f t="shared" si="1"/>
        <v>14443.4890138797</v>
      </c>
      <c r="J47" s="62">
        <f t="shared" si="2"/>
        <v>32993.038847878423</v>
      </c>
      <c r="K47" s="63">
        <f t="shared" si="4"/>
        <v>552993.03884787823</v>
      </c>
      <c r="L47" s="64" t="str">
        <f t="shared" si="5"/>
        <v/>
      </c>
      <c r="M47" s="47">
        <f t="shared" si="3"/>
        <v>14443.4890138797</v>
      </c>
    </row>
    <row r="48" spans="1:13" ht="12.75" customHeight="1" x14ac:dyDescent="0.35">
      <c r="A48" s="65">
        <v>4</v>
      </c>
      <c r="B48" s="58" t="s">
        <v>80</v>
      </c>
      <c r="C48" s="59">
        <f>Premissas!$C$34+0.5*(Premissas!$C$35-Premissas!$C$34)</f>
        <v>0.91700000000000004</v>
      </c>
      <c r="D48" s="60">
        <f>(1+Premissas!$C$26)^(3)</f>
        <v>1.2597120000000002</v>
      </c>
      <c r="E48" s="61">
        <f>Dimensionador!$C$22*(Premissas!$C$34+0.5*(Premissas!$C$35-Premissas!$C$34))*Premissas!$C$21*(1+Premissas!$C$26)^(3)</f>
        <v>15898.305642773519</v>
      </c>
      <c r="F48" s="61">
        <f>Dimensionador!$C$23*(Premissas!$C$34+0.5*(Premissas!$C$35-Premissas!$C$34))*Premissas!$C$20*(1+Premissas!$C$26)^(3)</f>
        <v>772.0363894123775</v>
      </c>
      <c r="G48" s="61">
        <f>Premissas!$C$25*(1+Premissas!$C$27)^(3)/12</f>
        <v>710.27255000000002</v>
      </c>
      <c r="H48" s="61">
        <f t="shared" si="0"/>
        <v>15126.269253361141</v>
      </c>
      <c r="I48" s="61">
        <f t="shared" si="1"/>
        <v>14415.996703361141</v>
      </c>
      <c r="J48" s="62">
        <f t="shared" si="2"/>
        <v>47409.035551239562</v>
      </c>
      <c r="K48" s="63">
        <f t="shared" si="4"/>
        <v>567409.03555123939</v>
      </c>
      <c r="L48" s="64" t="str">
        <f t="shared" si="5"/>
        <v/>
      </c>
      <c r="M48" s="47">
        <f t="shared" si="3"/>
        <v>14415.996703361141</v>
      </c>
    </row>
    <row r="49" spans="1:13" ht="12.75" customHeight="1" x14ac:dyDescent="0.35">
      <c r="A49" s="65">
        <v>4</v>
      </c>
      <c r="B49" s="58" t="s">
        <v>81</v>
      </c>
      <c r="C49" s="59">
        <f>Premissas!$C$34+0.5833333333*(Premissas!$C$35-Premissas!$C$34)</f>
        <v>0.91533333333400002</v>
      </c>
      <c r="D49" s="60">
        <f>(1+Premissas!$C$26)^(3)</f>
        <v>1.2597120000000002</v>
      </c>
      <c r="E49" s="61">
        <f>Dimensionador!$C$22*(Premissas!$C$34+0.5833333333*(Premissas!$C$35-Premissas!$C$34))*Premissas!$C$21*(1+Premissas!$C$26)^(3)</f>
        <v>15869.410139981053</v>
      </c>
      <c r="F49" s="61">
        <f>Dimensionador!$C$23*(Premissas!$C$34+0.5833333333*(Premissas!$C$35-Premissas!$C$34))*Premissas!$C$20*(1+Premissas!$C$26)^(3)</f>
        <v>770.63319713847045</v>
      </c>
      <c r="G49" s="61">
        <f>Premissas!$C$25*(1+Premissas!$C$27)^(3)/12</f>
        <v>710.27255000000002</v>
      </c>
      <c r="H49" s="61">
        <f t="shared" si="0"/>
        <v>15098.776942842584</v>
      </c>
      <c r="I49" s="61">
        <f t="shared" si="1"/>
        <v>14388.504392842584</v>
      </c>
      <c r="J49" s="62">
        <f t="shared" si="2"/>
        <v>61797.539944082149</v>
      </c>
      <c r="K49" s="63">
        <f t="shared" si="4"/>
        <v>581797.53994408192</v>
      </c>
      <c r="L49" s="64" t="str">
        <f t="shared" si="5"/>
        <v/>
      </c>
      <c r="M49" s="47">
        <f t="shared" si="3"/>
        <v>14388.504392842584</v>
      </c>
    </row>
    <row r="50" spans="1:13" ht="12.75" customHeight="1" x14ac:dyDescent="0.35">
      <c r="A50" s="65">
        <v>4</v>
      </c>
      <c r="B50" s="58" t="s">
        <v>82</v>
      </c>
      <c r="C50" s="59">
        <f>Premissas!$C$34+0.6666666667*(Premissas!$C$35-Premissas!$C$34)</f>
        <v>0.91366666666600005</v>
      </c>
      <c r="D50" s="60">
        <f>(1+Premissas!$C$26)^(3)</f>
        <v>1.2597120000000002</v>
      </c>
      <c r="E50" s="61">
        <f>Dimensionador!$C$22*(Premissas!$C$34+0.6666666667*(Premissas!$C$35-Premissas!$C$34))*Premissas!$C$21*(1+Premissas!$C$26)^(3)</f>
        <v>15840.514637153916</v>
      </c>
      <c r="F50" s="61">
        <f>Dimensionador!$C$23*(Premissas!$C$34+0.6666666667*(Premissas!$C$35-Premissas!$C$34))*Premissas!$C$20*(1+Premissas!$C$26)^(3)</f>
        <v>769.23000486287981</v>
      </c>
      <c r="G50" s="61">
        <f>Premissas!$C$25*(1+Premissas!$C$27)^(3)/12</f>
        <v>710.27255000000002</v>
      </c>
      <c r="H50" s="61">
        <f t="shared" si="0"/>
        <v>15071.284632291035</v>
      </c>
      <c r="I50" s="61">
        <f t="shared" si="1"/>
        <v>14361.012082291036</v>
      </c>
      <c r="J50" s="62">
        <f t="shared" si="2"/>
        <v>76158.552026373189</v>
      </c>
      <c r="K50" s="63">
        <f t="shared" si="4"/>
        <v>596158.55202637298</v>
      </c>
      <c r="L50" s="64" t="str">
        <f t="shared" si="5"/>
        <v/>
      </c>
      <c r="M50" s="47">
        <f t="shared" si="3"/>
        <v>14361.012082291036</v>
      </c>
    </row>
    <row r="51" spans="1:13" ht="12.75" customHeight="1" x14ac:dyDescent="0.35">
      <c r="A51" s="65">
        <v>4</v>
      </c>
      <c r="B51" s="58" t="s">
        <v>83</v>
      </c>
      <c r="C51" s="59">
        <f>Premissas!$C$34+0.75*(Premissas!$C$35-Premissas!$C$34)</f>
        <v>0.91200000000000003</v>
      </c>
      <c r="D51" s="60">
        <f>(1+Premissas!$C$26)^(3)</f>
        <v>1.2597120000000002</v>
      </c>
      <c r="E51" s="61">
        <f>Dimensionador!$C$22*(Premissas!$C$34+0.75*(Premissas!$C$35-Premissas!$C$34))*Premissas!$C$21*(1+Premissas!$C$26)^(3)</f>
        <v>15811.619134361452</v>
      </c>
      <c r="F51" s="61">
        <f>Dimensionador!$C$23*(Premissas!$C$34+0.75*(Premissas!$C$35-Premissas!$C$34))*Premissas!$C$20*(1+Premissas!$C$26)^(3)</f>
        <v>767.82681258897287</v>
      </c>
      <c r="G51" s="61">
        <f>Premissas!$C$25*(1+Premissas!$C$27)^(3)/12</f>
        <v>710.27255000000002</v>
      </c>
      <c r="H51" s="61">
        <f t="shared" si="0"/>
        <v>15043.792321772478</v>
      </c>
      <c r="I51" s="61">
        <f t="shared" si="1"/>
        <v>14333.519771772479</v>
      </c>
      <c r="J51" s="62">
        <f t="shared" si="2"/>
        <v>90492.071798145669</v>
      </c>
      <c r="K51" s="63">
        <f t="shared" si="4"/>
        <v>610492.07179814542</v>
      </c>
      <c r="L51" s="64" t="str">
        <f t="shared" si="5"/>
        <v/>
      </c>
      <c r="M51" s="47">
        <f t="shared" si="3"/>
        <v>14333.519771772479</v>
      </c>
    </row>
    <row r="52" spans="1:13" ht="12.75" customHeight="1" x14ac:dyDescent="0.35">
      <c r="A52" s="65">
        <v>4</v>
      </c>
      <c r="B52" s="58" t="s">
        <v>84</v>
      </c>
      <c r="C52" s="59">
        <f>Premissas!$C$34+0.8333333333*(Premissas!$C$35-Premissas!$C$34)</f>
        <v>0.91033333333400002</v>
      </c>
      <c r="D52" s="60">
        <f>(1+Premissas!$C$26)^(3)</f>
        <v>1.2597120000000002</v>
      </c>
      <c r="E52" s="61">
        <f>Dimensionador!$C$22*(Premissas!$C$34+0.8333333333*(Premissas!$C$35-Premissas!$C$34))*Premissas!$C$21*(1+Premissas!$C$26)^(3)</f>
        <v>15782.723631568986</v>
      </c>
      <c r="F52" s="61">
        <f>Dimensionador!$C$23*(Premissas!$C$34+0.8333333333*(Premissas!$C$35-Premissas!$C$34))*Premissas!$C$20*(1+Premissas!$C$26)^(3)</f>
        <v>766.42362031506605</v>
      </c>
      <c r="G52" s="61">
        <f>Premissas!$C$25*(1+Premissas!$C$27)^(3)/12</f>
        <v>710.27255000000002</v>
      </c>
      <c r="H52" s="61">
        <f t="shared" si="0"/>
        <v>15016.300011253919</v>
      </c>
      <c r="I52" s="61">
        <f t="shared" si="1"/>
        <v>14306.02746125392</v>
      </c>
      <c r="J52" s="62">
        <f t="shared" si="2"/>
        <v>104798.09925939959</v>
      </c>
      <c r="K52" s="63">
        <f t="shared" si="4"/>
        <v>624798.09925939934</v>
      </c>
      <c r="L52" s="64" t="str">
        <f t="shared" si="5"/>
        <v/>
      </c>
      <c r="M52" s="47">
        <f t="shared" si="3"/>
        <v>14306.02746125392</v>
      </c>
    </row>
    <row r="53" spans="1:13" ht="12.75" customHeight="1" x14ac:dyDescent="0.35">
      <c r="A53" s="66">
        <v>4</v>
      </c>
      <c r="B53" s="67" t="s">
        <v>85</v>
      </c>
      <c r="C53" s="68">
        <f>Premissas!$C$34+0.9166666667*(Premissas!$C$35-Premissas!$C$34)</f>
        <v>0.90866666666600004</v>
      </c>
      <c r="D53" s="69">
        <f>(1+Premissas!$C$26)^(3)</f>
        <v>1.2597120000000002</v>
      </c>
      <c r="E53" s="70">
        <f>Dimensionador!$C$22*(Premissas!$C$34+0.9166666667*(Premissas!$C$35-Premissas!$C$34))*Premissas!$C$21*(1+Premissas!$C$26)^(3)</f>
        <v>15753.828128741843</v>
      </c>
      <c r="F53" s="70">
        <f>Dimensionador!$C$23*(Premissas!$C$34+0.9166666667*(Premissas!$C$35-Premissas!$C$34))*Premissas!$C$20*(1+Premissas!$C$26)^(3)</f>
        <v>765.02042803947541</v>
      </c>
      <c r="G53" s="70">
        <f>Premissas!$C$25*(1+Premissas!$C$27)^(3)/12</f>
        <v>710.27255000000002</v>
      </c>
      <c r="H53" s="70">
        <f t="shared" si="0"/>
        <v>14988.807700702368</v>
      </c>
      <c r="I53" s="70">
        <f t="shared" si="1"/>
        <v>14278.535150702368</v>
      </c>
      <c r="J53" s="71">
        <f t="shared" si="2"/>
        <v>119076.63441010196</v>
      </c>
      <c r="K53" s="72">
        <f t="shared" si="4"/>
        <v>639076.63441010169</v>
      </c>
      <c r="L53" s="73" t="str">
        <f t="shared" si="5"/>
        <v/>
      </c>
      <c r="M53" s="47">
        <f t="shared" si="3"/>
        <v>14278.535150702368</v>
      </c>
    </row>
    <row r="54" spans="1:13" ht="12.75" customHeight="1" x14ac:dyDescent="0.35">
      <c r="A54" s="39">
        <v>5</v>
      </c>
      <c r="B54" s="40" t="s">
        <v>73</v>
      </c>
      <c r="C54" s="41">
        <f>Premissas!$C$35+0*(Premissas!$C$36-Premissas!$C$35)</f>
        <v>0.90700000000000003</v>
      </c>
      <c r="D54" s="42">
        <f>(1+Premissas!$C$26)^(4)</f>
        <v>1.3604889600000003</v>
      </c>
      <c r="E54" s="43">
        <f>Dimensionador!$C$22*(Premissas!$C$35+0*(Premissas!$C$36-Premissas!$C$35))*Premissas!$C$21*(1+Premissas!$C$26)^(4)</f>
        <v>16982.927236025331</v>
      </c>
      <c r="F54" s="43">
        <f>Dimensionador!$C$23*(Premissas!$C$35+0*(Premissas!$C$36-Premissas!$C$35))*Premissas!$C$20*(1+Premissas!$C$26)^(4)</f>
        <v>824.70661462681414</v>
      </c>
      <c r="G54" s="43">
        <f>Premissas!$C$25*(1+Premissas!$C$27)^(4)/12</f>
        <v>731.58072649999997</v>
      </c>
      <c r="H54" s="43">
        <f t="shared" si="0"/>
        <v>16158.220621398517</v>
      </c>
      <c r="I54" s="43">
        <f t="shared" si="1"/>
        <v>15426.639894898517</v>
      </c>
      <c r="J54" s="44">
        <f t="shared" si="2"/>
        <v>134503.27430500049</v>
      </c>
      <c r="K54" s="45">
        <f t="shared" si="4"/>
        <v>654503.2743050002</v>
      </c>
      <c r="L54" s="46" t="str">
        <f t="shared" si="5"/>
        <v/>
      </c>
      <c r="M54" s="47">
        <f t="shared" si="3"/>
        <v>15426.639894898517</v>
      </c>
    </row>
    <row r="55" spans="1:13" ht="12.75" customHeight="1" x14ac:dyDescent="0.35">
      <c r="A55" s="48">
        <v>5</v>
      </c>
      <c r="B55" s="40" t="s">
        <v>75</v>
      </c>
      <c r="C55" s="41">
        <f>Premissas!$C$35+0.0833333333*(Premissas!$C$36-Premissas!$C$35)</f>
        <v>0.90541666666730003</v>
      </c>
      <c r="D55" s="42">
        <f>(1+Premissas!$C$26)^(4)</f>
        <v>1.3604889600000003</v>
      </c>
      <c r="E55" s="43">
        <f>Dimensionador!$C$22*(Premissas!$C$35+0.0833333333*(Premissas!$C$36-Premissas!$C$35))*Premissas!$C$21*(1+Premissas!$C$26)^(4)</f>
        <v>16953.280450160266</v>
      </c>
      <c r="F55" s="43">
        <f>Dimensionador!$C$23*(Premissas!$C$35+0.0833333333*(Premissas!$C$36-Premissas!$C$35))*Premissas!$C$20*(1+Premissas!$C$26)^(4)</f>
        <v>823.26693935378557</v>
      </c>
      <c r="G55" s="43">
        <f>Premissas!$C$25*(1+Premissas!$C$27)^(4)/12</f>
        <v>731.58072649999997</v>
      </c>
      <c r="H55" s="43">
        <f t="shared" si="0"/>
        <v>16130.013510806481</v>
      </c>
      <c r="I55" s="43">
        <f t="shared" si="1"/>
        <v>15398.43278430648</v>
      </c>
      <c r="J55" s="44">
        <f t="shared" si="2"/>
        <v>149901.70708930696</v>
      </c>
      <c r="K55" s="45">
        <f t="shared" si="4"/>
        <v>669901.70708930667</v>
      </c>
      <c r="L55" s="46" t="str">
        <f t="shared" si="5"/>
        <v/>
      </c>
      <c r="M55" s="47">
        <f t="shared" si="3"/>
        <v>15398.43278430648</v>
      </c>
    </row>
    <row r="56" spans="1:13" ht="12.75" customHeight="1" x14ac:dyDescent="0.35">
      <c r="A56" s="48">
        <v>5</v>
      </c>
      <c r="B56" s="40" t="s">
        <v>76</v>
      </c>
      <c r="C56" s="41">
        <f>Premissas!$C$35+0.1666666667*(Premissas!$C$36-Premissas!$C$35)</f>
        <v>0.9038333333327</v>
      </c>
      <c r="D56" s="42">
        <f>(1+Premissas!$C$26)^(4)</f>
        <v>1.3604889600000003</v>
      </c>
      <c r="E56" s="43">
        <f>Dimensionador!$C$22*(Premissas!$C$35+0.1666666667*(Premissas!$C$36-Premissas!$C$35))*Premissas!$C$21*(1+Premissas!$C$26)^(4)</f>
        <v>16923.633664259618</v>
      </c>
      <c r="F56" s="43">
        <f>Dimensionador!$C$23*(Premissas!$C$35+0.1666666667*(Premissas!$C$36-Premissas!$C$35))*Premissas!$C$20*(1+Premissas!$C$26)^(4)</f>
        <v>821.82726407902953</v>
      </c>
      <c r="G56" s="43">
        <f>Premissas!$C$25*(1+Premissas!$C$27)^(4)/12</f>
        <v>731.58072649999997</v>
      </c>
      <c r="H56" s="43">
        <f t="shared" si="0"/>
        <v>16101.806400180589</v>
      </c>
      <c r="I56" s="43">
        <f t="shared" si="1"/>
        <v>15370.225673680588</v>
      </c>
      <c r="J56" s="44">
        <f t="shared" si="2"/>
        <v>165271.93276298756</v>
      </c>
      <c r="K56" s="45">
        <f t="shared" si="4"/>
        <v>685271.93276298721</v>
      </c>
      <c r="L56" s="46" t="str">
        <f t="shared" si="5"/>
        <v/>
      </c>
      <c r="M56" s="47">
        <f t="shared" si="3"/>
        <v>15370.225673680588</v>
      </c>
    </row>
    <row r="57" spans="1:13" ht="12.75" customHeight="1" x14ac:dyDescent="0.35">
      <c r="A57" s="48">
        <v>5</v>
      </c>
      <c r="B57" s="40" t="s">
        <v>77</v>
      </c>
      <c r="C57" s="41">
        <f>Premissas!$C$35+0.25*(Premissas!$C$36-Premissas!$C$35)</f>
        <v>0.90225</v>
      </c>
      <c r="D57" s="42">
        <f>(1+Premissas!$C$26)^(4)</f>
        <v>1.3604889600000003</v>
      </c>
      <c r="E57" s="43">
        <f>Dimensionador!$C$22*(Premissas!$C$35+0.25*(Premissas!$C$36-Premissas!$C$35))*Premissas!$C$21*(1+Premissas!$C$26)^(4)</f>
        <v>16893.986878394546</v>
      </c>
      <c r="F57" s="43">
        <f>Dimensionador!$C$23*(Premissas!$C$35+0.25*(Premissas!$C$36-Premissas!$C$35))*Premissas!$C$20*(1+Premissas!$C$26)^(4)</f>
        <v>820.38758880600108</v>
      </c>
      <c r="G57" s="43">
        <f>Premissas!$C$25*(1+Premissas!$C$27)^(4)/12</f>
        <v>731.58072649999997</v>
      </c>
      <c r="H57" s="43">
        <f t="shared" si="0"/>
        <v>16073.599289588545</v>
      </c>
      <c r="I57" s="43">
        <f t="shared" si="1"/>
        <v>15342.018563088544</v>
      </c>
      <c r="J57" s="44">
        <f t="shared" si="2"/>
        <v>180613.95132607612</v>
      </c>
      <c r="K57" s="45">
        <f t="shared" si="4"/>
        <v>700613.95132607571</v>
      </c>
      <c r="L57" s="46" t="str">
        <f t="shared" si="5"/>
        <v/>
      </c>
      <c r="M57" s="47">
        <f t="shared" si="3"/>
        <v>15342.018563088544</v>
      </c>
    </row>
    <row r="58" spans="1:13" ht="12.75" customHeight="1" x14ac:dyDescent="0.35">
      <c r="A58" s="48">
        <v>5</v>
      </c>
      <c r="B58" s="40" t="s">
        <v>78</v>
      </c>
      <c r="C58" s="41">
        <f>Premissas!$C$35+0.3333333333*(Premissas!$C$36-Premissas!$C$35)</f>
        <v>0.9006666666673</v>
      </c>
      <c r="D58" s="42">
        <f>(1+Premissas!$C$26)^(4)</f>
        <v>1.3604889600000003</v>
      </c>
      <c r="E58" s="43">
        <f>Dimensionador!$C$22*(Premissas!$C$35+0.3333333333*(Premissas!$C$36-Premissas!$C$35))*Premissas!$C$21*(1+Premissas!$C$26)^(4)</f>
        <v>16864.340092529477</v>
      </c>
      <c r="F58" s="43">
        <f>Dimensionador!$C$23*(Premissas!$C$35+0.3333333333*(Premissas!$C$36-Premissas!$C$35))*Premissas!$C$20*(1+Premissas!$C$26)^(4)</f>
        <v>818.94791353297262</v>
      </c>
      <c r="G58" s="43">
        <f>Premissas!$C$25*(1+Premissas!$C$27)^(4)/12</f>
        <v>731.58072649999997</v>
      </c>
      <c r="H58" s="43">
        <f t="shared" si="0"/>
        <v>16045.392178996504</v>
      </c>
      <c r="I58" s="43">
        <f t="shared" si="1"/>
        <v>15313.811452496504</v>
      </c>
      <c r="J58" s="44">
        <f t="shared" si="2"/>
        <v>195927.76277857262</v>
      </c>
      <c r="K58" s="45">
        <f t="shared" si="4"/>
        <v>715927.76277857216</v>
      </c>
      <c r="L58" s="46" t="str">
        <f t="shared" si="5"/>
        <v/>
      </c>
      <c r="M58" s="47">
        <f t="shared" si="3"/>
        <v>15313.811452496504</v>
      </c>
    </row>
    <row r="59" spans="1:13" ht="12.75" customHeight="1" x14ac:dyDescent="0.35">
      <c r="A59" s="48">
        <v>5</v>
      </c>
      <c r="B59" s="40" t="s">
        <v>79</v>
      </c>
      <c r="C59" s="41">
        <f>Premissas!$C$35+0.4166666667*(Premissas!$C$36-Premissas!$C$35)</f>
        <v>0.89908333333270007</v>
      </c>
      <c r="D59" s="42">
        <f>(1+Premissas!$C$26)^(4)</f>
        <v>1.3604889600000003</v>
      </c>
      <c r="E59" s="43">
        <f>Dimensionador!$C$22*(Premissas!$C$35+0.4166666667*(Premissas!$C$36-Premissas!$C$35))*Premissas!$C$21*(1+Premissas!$C$26)^(4)</f>
        <v>16834.693306628837</v>
      </c>
      <c r="F59" s="43">
        <f>Dimensionador!$C$23*(Premissas!$C$35+0.4166666667*(Premissas!$C$36-Premissas!$C$35))*Premissas!$C$20*(1+Premissas!$C$26)^(4)</f>
        <v>817.50823825821658</v>
      </c>
      <c r="G59" s="43">
        <f>Premissas!$C$25*(1+Premissas!$C$27)^(4)/12</f>
        <v>731.58072649999997</v>
      </c>
      <c r="H59" s="43">
        <f t="shared" si="0"/>
        <v>16017.18506837062</v>
      </c>
      <c r="I59" s="43">
        <f t="shared" si="1"/>
        <v>15285.604341870619</v>
      </c>
      <c r="J59" s="44">
        <f t="shared" si="2"/>
        <v>211213.36712044323</v>
      </c>
      <c r="K59" s="45">
        <f t="shared" si="4"/>
        <v>731213.3671204428</v>
      </c>
      <c r="L59" s="46" t="str">
        <f t="shared" si="5"/>
        <v/>
      </c>
      <c r="M59" s="47">
        <f t="shared" si="3"/>
        <v>15285.604341870619</v>
      </c>
    </row>
    <row r="60" spans="1:13" ht="12.75" customHeight="1" x14ac:dyDescent="0.35">
      <c r="A60" s="48">
        <v>5</v>
      </c>
      <c r="B60" s="40" t="s">
        <v>80</v>
      </c>
      <c r="C60" s="41">
        <f>Premissas!$C$35+0.5*(Premissas!$C$36-Premissas!$C$35)</f>
        <v>0.89749999999999996</v>
      </c>
      <c r="D60" s="42">
        <f>(1+Premissas!$C$26)^(4)</f>
        <v>1.3604889600000003</v>
      </c>
      <c r="E60" s="43">
        <f>Dimensionador!$C$22*(Premissas!$C$35+0.5*(Premissas!$C$36-Premissas!$C$35))*Premissas!$C$21*(1+Premissas!$C$26)^(4)</f>
        <v>16805.046520763764</v>
      </c>
      <c r="F60" s="43">
        <f>Dimensionador!$C$23*(Premissas!$C$35+0.5*(Premissas!$C$36-Premissas!$C$35))*Premissas!$C$20*(1+Premissas!$C$26)^(4)</f>
        <v>816.06856298518801</v>
      </c>
      <c r="G60" s="43">
        <f>Premissas!$C$25*(1+Premissas!$C$27)^(4)/12</f>
        <v>731.58072649999997</v>
      </c>
      <c r="H60" s="43">
        <f t="shared" si="0"/>
        <v>15988.977957778576</v>
      </c>
      <c r="I60" s="43">
        <f t="shared" si="1"/>
        <v>15257.397231278575</v>
      </c>
      <c r="J60" s="44">
        <f t="shared" si="2"/>
        <v>226470.76435172179</v>
      </c>
      <c r="K60" s="45">
        <f t="shared" si="4"/>
        <v>746470.76435172139</v>
      </c>
      <c r="L60" s="46" t="str">
        <f t="shared" si="5"/>
        <v/>
      </c>
      <c r="M60" s="47">
        <f t="shared" si="3"/>
        <v>15257.397231278575</v>
      </c>
    </row>
    <row r="61" spans="1:13" ht="12.75" customHeight="1" x14ac:dyDescent="0.35">
      <c r="A61" s="48">
        <v>5</v>
      </c>
      <c r="B61" s="40" t="s">
        <v>81</v>
      </c>
      <c r="C61" s="41">
        <f>Premissas!$C$35+0.5833333333*(Premissas!$C$36-Premissas!$C$35)</f>
        <v>0.89591666666729997</v>
      </c>
      <c r="D61" s="42">
        <f>(1+Premissas!$C$26)^(4)</f>
        <v>1.3604889600000003</v>
      </c>
      <c r="E61" s="43">
        <f>Dimensionador!$C$22*(Premissas!$C$35+0.5833333333*(Premissas!$C$36-Premissas!$C$35))*Premissas!$C$21*(1+Premissas!$C$26)^(4)</f>
        <v>16775.399734898696</v>
      </c>
      <c r="F61" s="43">
        <f>Dimensionador!$C$23*(Premissas!$C$35+0.5833333333*(Premissas!$C$36-Premissas!$C$35))*Premissas!$C$20*(1+Premissas!$C$26)^(4)</f>
        <v>814.62888771215955</v>
      </c>
      <c r="G61" s="43">
        <f>Premissas!$C$25*(1+Premissas!$C$27)^(4)/12</f>
        <v>731.58072649999997</v>
      </c>
      <c r="H61" s="43">
        <f t="shared" si="0"/>
        <v>15960.770847186537</v>
      </c>
      <c r="I61" s="43">
        <f t="shared" si="1"/>
        <v>15229.190120686537</v>
      </c>
      <c r="J61" s="44">
        <f t="shared" si="2"/>
        <v>241699.95447240834</v>
      </c>
      <c r="K61" s="45">
        <f t="shared" si="4"/>
        <v>761699.95447240793</v>
      </c>
      <c r="L61" s="46" t="str">
        <f t="shared" si="5"/>
        <v/>
      </c>
      <c r="M61" s="47">
        <f t="shared" si="3"/>
        <v>15229.190120686537</v>
      </c>
    </row>
    <row r="62" spans="1:13" ht="12.75" customHeight="1" x14ac:dyDescent="0.35">
      <c r="A62" s="48">
        <v>5</v>
      </c>
      <c r="B62" s="40" t="s">
        <v>82</v>
      </c>
      <c r="C62" s="41">
        <f>Premissas!$C$35+0.6666666667*(Premissas!$C$36-Premissas!$C$35)</f>
        <v>0.89433333333270004</v>
      </c>
      <c r="D62" s="42">
        <f>(1+Premissas!$C$26)^(4)</f>
        <v>1.3604889600000003</v>
      </c>
      <c r="E62" s="43">
        <f>Dimensionador!$C$22*(Premissas!$C$35+0.6666666667*(Premissas!$C$36-Premissas!$C$35))*Premissas!$C$21*(1+Premissas!$C$26)^(4)</f>
        <v>16745.752948998052</v>
      </c>
      <c r="F62" s="43">
        <f>Dimensionador!$C$23*(Premissas!$C$35+0.6666666667*(Premissas!$C$36-Premissas!$C$35))*Premissas!$C$20*(1+Premissas!$C$26)^(4)</f>
        <v>813.18921243740363</v>
      </c>
      <c r="G62" s="43">
        <f>Premissas!$C$25*(1+Premissas!$C$27)^(4)/12</f>
        <v>731.58072649999997</v>
      </c>
      <c r="H62" s="43">
        <f t="shared" si="0"/>
        <v>15932.563736560647</v>
      </c>
      <c r="I62" s="43">
        <f t="shared" si="1"/>
        <v>15200.983010060647</v>
      </c>
      <c r="J62" s="44">
        <f t="shared" si="2"/>
        <v>256900.93748246899</v>
      </c>
      <c r="K62" s="45">
        <f t="shared" si="4"/>
        <v>776900.93748246855</v>
      </c>
      <c r="L62" s="46" t="str">
        <f t="shared" si="5"/>
        <v/>
      </c>
      <c r="M62" s="47">
        <f t="shared" si="3"/>
        <v>15200.983010060647</v>
      </c>
    </row>
    <row r="63" spans="1:13" ht="12.75" customHeight="1" x14ac:dyDescent="0.35">
      <c r="A63" s="48">
        <v>5</v>
      </c>
      <c r="B63" s="40" t="s">
        <v>83</v>
      </c>
      <c r="C63" s="41">
        <f>Premissas!$C$35+0.75*(Premissas!$C$36-Premissas!$C$35)</f>
        <v>0.89275000000000004</v>
      </c>
      <c r="D63" s="42">
        <f>(1+Premissas!$C$26)^(4)</f>
        <v>1.3604889600000003</v>
      </c>
      <c r="E63" s="43">
        <f>Dimensionador!$C$22*(Premissas!$C$35+0.75*(Premissas!$C$36-Premissas!$C$35))*Premissas!$C$21*(1+Premissas!$C$26)^(4)</f>
        <v>16716.106163132983</v>
      </c>
      <c r="F63" s="43">
        <f>Dimensionador!$C$23*(Premissas!$C$35+0.75*(Premissas!$C$36-Premissas!$C$35))*Premissas!$C$20*(1+Premissas!$C$26)^(4)</f>
        <v>811.74953716437506</v>
      </c>
      <c r="G63" s="43">
        <f>Premissas!$C$25*(1+Premissas!$C$27)^(4)/12</f>
        <v>731.58072649999997</v>
      </c>
      <c r="H63" s="43">
        <f t="shared" si="0"/>
        <v>15904.356625968609</v>
      </c>
      <c r="I63" s="43">
        <f t="shared" si="1"/>
        <v>15172.775899468608</v>
      </c>
      <c r="J63" s="44">
        <f t="shared" si="2"/>
        <v>272073.71338193759</v>
      </c>
      <c r="K63" s="45">
        <f t="shared" si="4"/>
        <v>792073.71338193712</v>
      </c>
      <c r="L63" s="46" t="str">
        <f t="shared" si="5"/>
        <v/>
      </c>
      <c r="M63" s="47">
        <f t="shared" si="3"/>
        <v>15172.775899468608</v>
      </c>
    </row>
    <row r="64" spans="1:13" ht="12.75" customHeight="1" x14ac:dyDescent="0.35">
      <c r="A64" s="48">
        <v>5</v>
      </c>
      <c r="B64" s="40" t="s">
        <v>84</v>
      </c>
      <c r="C64" s="41">
        <f>Premissas!$C$35+0.8333333333*(Premissas!$C$36-Premissas!$C$35)</f>
        <v>0.89116666666730004</v>
      </c>
      <c r="D64" s="42">
        <f>(1+Premissas!$C$26)^(4)</f>
        <v>1.3604889600000003</v>
      </c>
      <c r="E64" s="43">
        <f>Dimensionador!$C$22*(Premissas!$C$35+0.8333333333*(Premissas!$C$36-Premissas!$C$35))*Premissas!$C$21*(1+Premissas!$C$26)^(4)</f>
        <v>16686.459377267915</v>
      </c>
      <c r="F64" s="43">
        <f>Dimensionador!$C$23*(Premissas!$C$35+0.8333333333*(Premissas!$C$36-Premissas!$C$35))*Premissas!$C$20*(1+Premissas!$C$26)^(4)</f>
        <v>810.30986189134671</v>
      </c>
      <c r="G64" s="43">
        <f>Premissas!$C$25*(1+Premissas!$C$27)^(4)/12</f>
        <v>731.58072649999997</v>
      </c>
      <c r="H64" s="43">
        <f t="shared" si="0"/>
        <v>15876.149515376568</v>
      </c>
      <c r="I64" s="43">
        <f t="shared" si="1"/>
        <v>15144.568788876568</v>
      </c>
      <c r="J64" s="44">
        <f t="shared" si="2"/>
        <v>287218.28217081417</v>
      </c>
      <c r="K64" s="45">
        <f t="shared" si="4"/>
        <v>807218.28217081365</v>
      </c>
      <c r="L64" s="46" t="str">
        <f t="shared" si="5"/>
        <v/>
      </c>
      <c r="M64" s="47">
        <f t="shared" si="3"/>
        <v>15144.568788876568</v>
      </c>
    </row>
    <row r="65" spans="1:13" ht="12.75" customHeight="1" x14ac:dyDescent="0.35">
      <c r="A65" s="49">
        <v>5</v>
      </c>
      <c r="B65" s="50" t="s">
        <v>85</v>
      </c>
      <c r="C65" s="51">
        <f>Premissas!$C$35+0.9166666667*(Premissas!$C$36-Premissas!$C$35)</f>
        <v>0.88958333333270001</v>
      </c>
      <c r="D65" s="52">
        <f>(1+Premissas!$C$26)^(4)</f>
        <v>1.3604889600000003</v>
      </c>
      <c r="E65" s="53">
        <f>Dimensionador!$C$22*(Premissas!$C$35+0.9166666667*(Premissas!$C$36-Premissas!$C$35))*Premissas!$C$21*(1+Premissas!$C$26)^(4)</f>
        <v>16656.81259136727</v>
      </c>
      <c r="F65" s="53">
        <f>Dimensionador!$C$23*(Premissas!$C$35+0.9166666667*(Premissas!$C$36-Premissas!$C$35))*Premissas!$C$20*(1+Premissas!$C$26)^(4)</f>
        <v>808.87018661659044</v>
      </c>
      <c r="G65" s="53">
        <f>Premissas!$C$25*(1+Premissas!$C$27)^(4)/12</f>
        <v>731.58072649999997</v>
      </c>
      <c r="H65" s="53">
        <f t="shared" si="0"/>
        <v>15847.94240475068</v>
      </c>
      <c r="I65" s="53">
        <f t="shared" si="1"/>
        <v>15116.36167825068</v>
      </c>
      <c r="J65" s="54">
        <f t="shared" si="2"/>
        <v>302334.64384906483</v>
      </c>
      <c r="K65" s="55">
        <f t="shared" si="4"/>
        <v>822334.64384906436</v>
      </c>
      <c r="L65" s="56" t="str">
        <f t="shared" si="5"/>
        <v/>
      </c>
      <c r="M65" s="47">
        <f t="shared" si="3"/>
        <v>15116.36167825068</v>
      </c>
    </row>
    <row r="66" spans="1:13" ht="12.75" customHeight="1" x14ac:dyDescent="0.35">
      <c r="A66" s="57">
        <v>6</v>
      </c>
      <c r="B66" s="58" t="s">
        <v>73</v>
      </c>
      <c r="C66" s="59">
        <f>Premissas!$C$36+0*(Premissas!$C$37-Premissas!$C$36)</f>
        <v>0.88800000000000001</v>
      </c>
      <c r="D66" s="60">
        <f>(1+Premissas!$C$26)^(5)</f>
        <v>1.4693280768000003</v>
      </c>
      <c r="E66" s="61">
        <f>Dimensionador!$C$22*(Premissas!$C$36+0*(Premissas!$C$37-Premissas!$C$36))*Premissas!$C$21*(1+Premissas!$C$26)^(5)</f>
        <v>17957.339069942373</v>
      </c>
      <c r="F66" s="61">
        <f>Dimensionador!$C$23*(Premissas!$C$36+0*(Premissas!$C$37-Premissas!$C$36))*Premissas!$C$20*(1+Premissas!$C$26)^(5)</f>
        <v>872.02495225104724</v>
      </c>
      <c r="G66" s="61">
        <f>Premissas!$C$25*(1+Premissas!$C$27)^(5)/12</f>
        <v>753.52814829499994</v>
      </c>
      <c r="H66" s="61">
        <f t="shared" si="0"/>
        <v>17085.314117691327</v>
      </c>
      <c r="I66" s="61">
        <f t="shared" si="1"/>
        <v>16331.785969396327</v>
      </c>
      <c r="J66" s="62">
        <f t="shared" si="2"/>
        <v>318666.42981846118</v>
      </c>
      <c r="K66" s="63">
        <f t="shared" si="4"/>
        <v>838666.42981846072</v>
      </c>
      <c r="L66" s="64" t="str">
        <f t="shared" si="5"/>
        <v/>
      </c>
      <c r="M66" s="47">
        <f t="shared" si="3"/>
        <v>16331.785969396327</v>
      </c>
    </row>
    <row r="67" spans="1:13" ht="12.75" customHeight="1" x14ac:dyDescent="0.35">
      <c r="A67" s="65">
        <v>6</v>
      </c>
      <c r="B67" s="58" t="s">
        <v>75</v>
      </c>
      <c r="C67" s="59">
        <f>Premissas!$C$36+0.0833333333*(Premissas!$C$37-Premissas!$C$36)</f>
        <v>0.88650000000060003</v>
      </c>
      <c r="D67" s="60">
        <f>(1+Premissas!$C$26)^(5)</f>
        <v>1.4693280768000003</v>
      </c>
      <c r="E67" s="61">
        <f>Dimensionador!$C$22*(Premissas!$C$36+0.0833333333*(Premissas!$C$37-Premissas!$C$36))*Premissas!$C$21*(1+Premissas!$C$26)^(5)</f>
        <v>17927.005726930958</v>
      </c>
      <c r="F67" s="61">
        <f>Dimensionador!$C$23*(Premissas!$C$36+0.0833333333*(Premissas!$C$37-Premissas!$C$36))*Premissas!$C$20*(1+Premissas!$C$26)^(5)</f>
        <v>870.55193712959056</v>
      </c>
      <c r="G67" s="61">
        <f>Premissas!$C$25*(1+Premissas!$C$27)^(5)/12</f>
        <v>753.52814829499994</v>
      </c>
      <c r="H67" s="61">
        <f t="shared" si="0"/>
        <v>17056.453789801366</v>
      </c>
      <c r="I67" s="61">
        <f t="shared" si="1"/>
        <v>16302.925641506366</v>
      </c>
      <c r="J67" s="62">
        <f t="shared" si="2"/>
        <v>334969.35545996757</v>
      </c>
      <c r="K67" s="63">
        <f t="shared" si="4"/>
        <v>854969.35545996705</v>
      </c>
      <c r="L67" s="64" t="str">
        <f t="shared" si="5"/>
        <v/>
      </c>
      <c r="M67" s="47">
        <f t="shared" si="3"/>
        <v>16302.925641506366</v>
      </c>
    </row>
    <row r="68" spans="1:13" ht="12.75" customHeight="1" x14ac:dyDescent="0.35">
      <c r="A68" s="65">
        <v>6</v>
      </c>
      <c r="B68" s="58" t="s">
        <v>76</v>
      </c>
      <c r="C68" s="59">
        <f>Premissas!$C$36+0.1666666667*(Premissas!$C$37-Premissas!$C$36)</f>
        <v>0.88499999999940004</v>
      </c>
      <c r="D68" s="60">
        <f>(1+Premissas!$C$26)^(5)</f>
        <v>1.4693280768000003</v>
      </c>
      <c r="E68" s="61">
        <f>Dimensionador!$C$22*(Premissas!$C$36+0.1666666667*(Premissas!$C$37-Premissas!$C$36))*Premissas!$C$21*(1+Premissas!$C$26)^(5)</f>
        <v>17896.672383883142</v>
      </c>
      <c r="F68" s="61">
        <f>Dimensionador!$C$23*(Premissas!$C$36+0.1666666667*(Premissas!$C$37-Premissas!$C$36))*Premissas!$C$20*(1+Premissas!$C$26)^(5)</f>
        <v>869.07892200636661</v>
      </c>
      <c r="G68" s="61">
        <f>Premissas!$C$25*(1+Premissas!$C$27)^(5)/12</f>
        <v>753.52814829499994</v>
      </c>
      <c r="H68" s="61">
        <f t="shared" si="0"/>
        <v>17027.593461876775</v>
      </c>
      <c r="I68" s="61">
        <f t="shared" si="1"/>
        <v>16274.065313581776</v>
      </c>
      <c r="J68" s="62">
        <f t="shared" si="2"/>
        <v>351243.42077354935</v>
      </c>
      <c r="K68" s="63">
        <f t="shared" si="4"/>
        <v>871243.42077354877</v>
      </c>
      <c r="L68" s="64" t="str">
        <f t="shared" si="5"/>
        <v/>
      </c>
      <c r="M68" s="47">
        <f t="shared" si="3"/>
        <v>16274.065313581776</v>
      </c>
    </row>
    <row r="69" spans="1:13" ht="12.75" customHeight="1" x14ac:dyDescent="0.35">
      <c r="A69" s="65">
        <v>6</v>
      </c>
      <c r="B69" s="58" t="s">
        <v>77</v>
      </c>
      <c r="C69" s="59">
        <f>Premissas!$C$36+0.25*(Premissas!$C$37-Premissas!$C$36)</f>
        <v>0.88349999999999995</v>
      </c>
      <c r="D69" s="60">
        <f>(1+Premissas!$C$26)^(5)</f>
        <v>1.4693280768000003</v>
      </c>
      <c r="E69" s="61">
        <f>Dimensionador!$C$22*(Premissas!$C$36+0.25*(Premissas!$C$37-Premissas!$C$36))*Premissas!$C$21*(1+Premissas!$C$26)^(5)</f>
        <v>17866.33904087172</v>
      </c>
      <c r="F69" s="61">
        <f>Dimensionador!$C$23*(Premissas!$C$36+0.25*(Premissas!$C$37-Premissas!$C$36))*Premissas!$C$20*(1+Premissas!$C$26)^(5)</f>
        <v>867.60590688490993</v>
      </c>
      <c r="G69" s="61">
        <f>Premissas!$C$25*(1+Premissas!$C$27)^(5)/12</f>
        <v>753.52814829499994</v>
      </c>
      <c r="H69" s="61">
        <f t="shared" si="0"/>
        <v>16998.733133986811</v>
      </c>
      <c r="I69" s="61">
        <f t="shared" si="1"/>
        <v>16245.204985691811</v>
      </c>
      <c r="J69" s="62">
        <f t="shared" si="2"/>
        <v>367488.62575924117</v>
      </c>
      <c r="K69" s="63">
        <f t="shared" si="4"/>
        <v>887488.62575924059</v>
      </c>
      <c r="L69" s="64" t="str">
        <f t="shared" si="5"/>
        <v/>
      </c>
      <c r="M69" s="47">
        <f t="shared" si="3"/>
        <v>16245.204985691811</v>
      </c>
    </row>
    <row r="70" spans="1:13" ht="12.75" customHeight="1" x14ac:dyDescent="0.35">
      <c r="A70" s="65">
        <v>6</v>
      </c>
      <c r="B70" s="58" t="s">
        <v>78</v>
      </c>
      <c r="C70" s="59">
        <f>Premissas!$C$36+0.3333333333*(Premissas!$C$37-Premissas!$C$36)</f>
        <v>0.88200000000059997</v>
      </c>
      <c r="D70" s="60">
        <f>(1+Premissas!$C$26)^(5)</f>
        <v>1.4693280768000003</v>
      </c>
      <c r="E70" s="61">
        <f>Dimensionador!$C$22*(Premissas!$C$36+0.3333333333*(Premissas!$C$37-Premissas!$C$36))*Premissas!$C$21*(1+Premissas!$C$26)^(5)</f>
        <v>17836.005697860302</v>
      </c>
      <c r="F70" s="61">
        <f>Dimensionador!$C$23*(Premissas!$C$36+0.3333333333*(Premissas!$C$37-Premissas!$C$36))*Premissas!$C$20*(1+Premissas!$C$26)^(5)</f>
        <v>866.13289176345347</v>
      </c>
      <c r="G70" s="61">
        <f>Premissas!$C$25*(1+Premissas!$C$27)^(5)/12</f>
        <v>753.52814829499994</v>
      </c>
      <c r="H70" s="61">
        <f t="shared" ref="H70:H133" si="6">E70-F70</f>
        <v>16969.87280609685</v>
      </c>
      <c r="I70" s="61">
        <f t="shared" ref="I70:I133" si="7">H70-G70</f>
        <v>16216.34465780185</v>
      </c>
      <c r="J70" s="62">
        <f t="shared" ref="J70:J133" si="8">J69+I70</f>
        <v>383704.97041704302</v>
      </c>
      <c r="K70" s="63">
        <f t="shared" si="4"/>
        <v>903704.9704170425</v>
      </c>
      <c r="L70" s="64" t="str">
        <f t="shared" si="5"/>
        <v/>
      </c>
      <c r="M70" s="47">
        <f t="shared" ref="M70:M133" si="9">I70</f>
        <v>16216.34465780185</v>
      </c>
    </row>
    <row r="71" spans="1:13" ht="12.75" customHeight="1" x14ac:dyDescent="0.35">
      <c r="A71" s="65">
        <v>6</v>
      </c>
      <c r="B71" s="58" t="s">
        <v>79</v>
      </c>
      <c r="C71" s="59">
        <f>Premissas!$C$36+0.4166666667*(Premissas!$C$37-Premissas!$C$36)</f>
        <v>0.88049999999939998</v>
      </c>
      <c r="D71" s="60">
        <f>(1+Premissas!$C$26)^(5)</f>
        <v>1.4693280768000003</v>
      </c>
      <c r="E71" s="61">
        <f>Dimensionador!$C$22*(Premissas!$C$36+0.4166666667*(Premissas!$C$37-Premissas!$C$36))*Premissas!$C$21*(1+Premissas!$C$26)^(5)</f>
        <v>17805.672354812483</v>
      </c>
      <c r="F71" s="61">
        <f>Dimensionador!$C$23*(Premissas!$C$36+0.4166666667*(Premissas!$C$37-Premissas!$C$36))*Premissas!$C$20*(1+Premissas!$C$26)^(5)</f>
        <v>864.65987664022953</v>
      </c>
      <c r="G71" s="61">
        <f>Premissas!$C$25*(1+Premissas!$C$27)^(5)/12</f>
        <v>753.52814829499994</v>
      </c>
      <c r="H71" s="61">
        <f t="shared" si="6"/>
        <v>16941.012478172252</v>
      </c>
      <c r="I71" s="61">
        <f t="shared" si="7"/>
        <v>16187.484329877252</v>
      </c>
      <c r="J71" s="62">
        <f t="shared" si="8"/>
        <v>399892.45474692027</v>
      </c>
      <c r="K71" s="63">
        <f t="shared" ref="K71:K134" si="10">K70+I71</f>
        <v>919892.4547469198</v>
      </c>
      <c r="L71" s="64" t="str">
        <f t="shared" ref="L71:L134" si="11">IF(AND(J71&gt;=0,J70&lt;0),"✅ PAYBACK","")</f>
        <v/>
      </c>
      <c r="M71" s="47">
        <f t="shared" si="9"/>
        <v>16187.484329877252</v>
      </c>
    </row>
    <row r="72" spans="1:13" ht="12.75" customHeight="1" x14ac:dyDescent="0.35">
      <c r="A72" s="65">
        <v>6</v>
      </c>
      <c r="B72" s="58" t="s">
        <v>80</v>
      </c>
      <c r="C72" s="59">
        <f>Premissas!$C$36+0.5*(Premissas!$C$37-Premissas!$C$36)</f>
        <v>0.879</v>
      </c>
      <c r="D72" s="60">
        <f>(1+Premissas!$C$26)^(5)</f>
        <v>1.4693280768000003</v>
      </c>
      <c r="E72" s="61">
        <f>Dimensionador!$C$22*(Premissas!$C$36+0.5*(Premissas!$C$37-Premissas!$C$36))*Premissas!$C$21*(1+Premissas!$C$26)^(5)</f>
        <v>17775.339011801068</v>
      </c>
      <c r="F72" s="61">
        <f>Dimensionador!$C$23*(Premissas!$C$36+0.5*(Premissas!$C$37-Premissas!$C$36))*Premissas!$C$20*(1+Premissas!$C$26)^(5)</f>
        <v>863.18686151877296</v>
      </c>
      <c r="G72" s="61">
        <f>Premissas!$C$25*(1+Premissas!$C$27)^(5)/12</f>
        <v>753.52814829499994</v>
      </c>
      <c r="H72" s="61">
        <f t="shared" si="6"/>
        <v>16912.152150282294</v>
      </c>
      <c r="I72" s="61">
        <f t="shared" si="7"/>
        <v>16158.624001987295</v>
      </c>
      <c r="J72" s="62">
        <f t="shared" si="8"/>
        <v>416051.07874890754</v>
      </c>
      <c r="K72" s="63">
        <f t="shared" si="10"/>
        <v>936051.07874890708</v>
      </c>
      <c r="L72" s="64" t="str">
        <f t="shared" si="11"/>
        <v/>
      </c>
      <c r="M72" s="47">
        <f t="shared" si="9"/>
        <v>16158.624001987295</v>
      </c>
    </row>
    <row r="73" spans="1:13" ht="12.75" customHeight="1" x14ac:dyDescent="0.35">
      <c r="A73" s="65">
        <v>6</v>
      </c>
      <c r="B73" s="58" t="s">
        <v>81</v>
      </c>
      <c r="C73" s="59">
        <f>Premissas!$C$36+0.5833333333*(Premissas!$C$37-Premissas!$C$36)</f>
        <v>0.87750000000060002</v>
      </c>
      <c r="D73" s="60">
        <f>(1+Premissas!$C$26)^(5)</f>
        <v>1.4693280768000003</v>
      </c>
      <c r="E73" s="61">
        <f>Dimensionador!$C$22*(Premissas!$C$36+0.5833333333*(Premissas!$C$37-Premissas!$C$36))*Premissas!$C$21*(1+Premissas!$C$26)^(5)</f>
        <v>17745.00566878965</v>
      </c>
      <c r="F73" s="61">
        <f>Dimensionador!$C$23*(Premissas!$C$36+0.5833333333*(Premissas!$C$37-Premissas!$C$36))*Premissas!$C$20*(1+Premissas!$C$26)^(5)</f>
        <v>861.71384639731662</v>
      </c>
      <c r="G73" s="61">
        <f>Premissas!$C$25*(1+Premissas!$C$27)^(5)/12</f>
        <v>753.52814829499994</v>
      </c>
      <c r="H73" s="61">
        <f t="shared" si="6"/>
        <v>16883.291822392333</v>
      </c>
      <c r="I73" s="61">
        <f t="shared" si="7"/>
        <v>16129.763674097334</v>
      </c>
      <c r="J73" s="62">
        <f t="shared" si="8"/>
        <v>432180.84242300485</v>
      </c>
      <c r="K73" s="63">
        <f t="shared" si="10"/>
        <v>952180.84242300445</v>
      </c>
      <c r="L73" s="64" t="str">
        <f t="shared" si="11"/>
        <v/>
      </c>
      <c r="M73" s="47">
        <f t="shared" si="9"/>
        <v>16129.763674097334</v>
      </c>
    </row>
    <row r="74" spans="1:13" ht="12.75" customHeight="1" x14ac:dyDescent="0.35">
      <c r="A74" s="65">
        <v>6</v>
      </c>
      <c r="B74" s="58" t="s">
        <v>82</v>
      </c>
      <c r="C74" s="59">
        <f>Premissas!$C$36+0.6666666667*(Premissas!$C$37-Premissas!$C$36)</f>
        <v>0.87599999999940004</v>
      </c>
      <c r="D74" s="60">
        <f>(1+Premissas!$C$26)^(5)</f>
        <v>1.4693280768000003</v>
      </c>
      <c r="E74" s="61">
        <f>Dimensionador!$C$22*(Premissas!$C$36+0.6666666667*(Premissas!$C$37-Premissas!$C$36))*Premissas!$C$21*(1+Premissas!$C$26)^(5)</f>
        <v>17714.672325741831</v>
      </c>
      <c r="F74" s="61">
        <f>Dimensionador!$C$23*(Premissas!$C$36+0.6666666667*(Premissas!$C$37-Premissas!$C$36))*Premissas!$C$20*(1+Premissas!$C$26)^(5)</f>
        <v>860.24083127409233</v>
      </c>
      <c r="G74" s="61">
        <f>Premissas!$C$25*(1+Premissas!$C$27)^(5)/12</f>
        <v>753.52814829499994</v>
      </c>
      <c r="H74" s="61">
        <f t="shared" si="6"/>
        <v>16854.431494467739</v>
      </c>
      <c r="I74" s="61">
        <f t="shared" si="7"/>
        <v>16100.903346172739</v>
      </c>
      <c r="J74" s="62">
        <f t="shared" si="8"/>
        <v>448281.74576917762</v>
      </c>
      <c r="K74" s="63">
        <f t="shared" si="10"/>
        <v>968281.74576917721</v>
      </c>
      <c r="L74" s="64" t="str">
        <f t="shared" si="11"/>
        <v/>
      </c>
      <c r="M74" s="47">
        <f t="shared" si="9"/>
        <v>16100.903346172739</v>
      </c>
    </row>
    <row r="75" spans="1:13" ht="12.75" customHeight="1" x14ac:dyDescent="0.35">
      <c r="A75" s="65">
        <v>6</v>
      </c>
      <c r="B75" s="58" t="s">
        <v>83</v>
      </c>
      <c r="C75" s="59">
        <f>Premissas!$C$36+0.75*(Premissas!$C$37-Premissas!$C$36)</f>
        <v>0.87450000000000006</v>
      </c>
      <c r="D75" s="60">
        <f>(1+Premissas!$C$26)^(5)</f>
        <v>1.4693280768000003</v>
      </c>
      <c r="E75" s="61">
        <f>Dimensionador!$C$22*(Premissas!$C$36+0.75*(Premissas!$C$37-Premissas!$C$36))*Premissas!$C$21*(1+Premissas!$C$26)^(5)</f>
        <v>17684.338982730416</v>
      </c>
      <c r="F75" s="61">
        <f>Dimensionador!$C$23*(Premissas!$C$36+0.75*(Premissas!$C$37-Premissas!$C$36))*Premissas!$C$20*(1+Premissas!$C$26)^(5)</f>
        <v>858.76781615263599</v>
      </c>
      <c r="G75" s="61">
        <f>Premissas!$C$25*(1+Premissas!$C$27)^(5)/12</f>
        <v>753.52814829499994</v>
      </c>
      <c r="H75" s="61">
        <f t="shared" si="6"/>
        <v>16825.571166577782</v>
      </c>
      <c r="I75" s="61">
        <f t="shared" si="7"/>
        <v>16072.043018282782</v>
      </c>
      <c r="J75" s="62">
        <f t="shared" si="8"/>
        <v>464353.78878746042</v>
      </c>
      <c r="K75" s="63">
        <f t="shared" si="10"/>
        <v>984353.78878745995</v>
      </c>
      <c r="L75" s="64" t="str">
        <f t="shared" si="11"/>
        <v/>
      </c>
      <c r="M75" s="47">
        <f t="shared" si="9"/>
        <v>16072.043018282782</v>
      </c>
    </row>
    <row r="76" spans="1:13" ht="12.75" customHeight="1" x14ac:dyDescent="0.35">
      <c r="A76" s="65">
        <v>6</v>
      </c>
      <c r="B76" s="58" t="s">
        <v>84</v>
      </c>
      <c r="C76" s="59">
        <f>Premissas!$C$36+0.8333333333*(Premissas!$C$37-Premissas!$C$36)</f>
        <v>0.87300000000059996</v>
      </c>
      <c r="D76" s="60">
        <f>(1+Premissas!$C$26)^(5)</f>
        <v>1.4693280768000003</v>
      </c>
      <c r="E76" s="61">
        <f>Dimensionador!$C$22*(Premissas!$C$36+0.8333333333*(Premissas!$C$37-Premissas!$C$36))*Premissas!$C$21*(1+Premissas!$C$26)^(5)</f>
        <v>17654.005639718995</v>
      </c>
      <c r="F76" s="61">
        <f>Dimensionador!$C$23*(Premissas!$C$36+0.8333333333*(Premissas!$C$37-Premissas!$C$36))*Premissas!$C$20*(1+Premissas!$C$26)^(5)</f>
        <v>857.29480103117942</v>
      </c>
      <c r="G76" s="61">
        <f>Premissas!$C$25*(1+Premissas!$C$27)^(5)/12</f>
        <v>753.52814829499994</v>
      </c>
      <c r="H76" s="61">
        <f t="shared" si="6"/>
        <v>16796.710838687814</v>
      </c>
      <c r="I76" s="61">
        <f t="shared" si="7"/>
        <v>16043.182690392814</v>
      </c>
      <c r="J76" s="62">
        <f t="shared" si="8"/>
        <v>480396.97147785325</v>
      </c>
      <c r="K76" s="63">
        <f t="shared" si="10"/>
        <v>1000396.9714778528</v>
      </c>
      <c r="L76" s="64" t="str">
        <f t="shared" si="11"/>
        <v/>
      </c>
      <c r="M76" s="47">
        <f t="shared" si="9"/>
        <v>16043.182690392814</v>
      </c>
    </row>
    <row r="77" spans="1:13" ht="12.75" customHeight="1" x14ac:dyDescent="0.35">
      <c r="A77" s="66">
        <v>6</v>
      </c>
      <c r="B77" s="67" t="s">
        <v>85</v>
      </c>
      <c r="C77" s="68">
        <f>Premissas!$C$36+0.9166666667*(Premissas!$C$37-Premissas!$C$36)</f>
        <v>0.87149999999939998</v>
      </c>
      <c r="D77" s="69">
        <f>(1+Premissas!$C$26)^(5)</f>
        <v>1.4693280768000003</v>
      </c>
      <c r="E77" s="70">
        <f>Dimensionador!$C$22*(Premissas!$C$36+0.9166666667*(Premissas!$C$37-Premissas!$C$36))*Premissas!$C$21*(1+Premissas!$C$26)^(5)</f>
        <v>17623.672296671179</v>
      </c>
      <c r="F77" s="70">
        <f>Dimensionador!$C$23*(Premissas!$C$36+0.9166666667*(Premissas!$C$37-Premissas!$C$36))*Premissas!$C$20*(1+Premissas!$C$26)^(5)</f>
        <v>855.82178590795525</v>
      </c>
      <c r="G77" s="70">
        <f>Premissas!$C$25*(1+Premissas!$C$27)^(5)/12</f>
        <v>753.52814829499994</v>
      </c>
      <c r="H77" s="70">
        <f t="shared" si="6"/>
        <v>16767.850510763223</v>
      </c>
      <c r="I77" s="70">
        <f t="shared" si="7"/>
        <v>16014.322362468223</v>
      </c>
      <c r="J77" s="71">
        <f t="shared" si="8"/>
        <v>496411.29384032148</v>
      </c>
      <c r="K77" s="72">
        <f t="shared" si="10"/>
        <v>1016411.293840321</v>
      </c>
      <c r="L77" s="73" t="str">
        <f t="shared" si="11"/>
        <v/>
      </c>
      <c r="M77" s="47">
        <f t="shared" si="9"/>
        <v>16014.322362468223</v>
      </c>
    </row>
    <row r="78" spans="1:13" ht="12.75" customHeight="1" x14ac:dyDescent="0.35">
      <c r="A78" s="39">
        <v>7</v>
      </c>
      <c r="B78" s="40" t="s">
        <v>73</v>
      </c>
      <c r="C78" s="41">
        <f>Premissas!$C$37+0*(Premissas!$C$38-Premissas!$C$37)</f>
        <v>0.87</v>
      </c>
      <c r="D78" s="42">
        <f>(1+Premissas!$C$26)^(6)</f>
        <v>1.5868743229440005</v>
      </c>
      <c r="E78" s="43">
        <f>Dimensionador!$C$22*(Premissas!$C$37+0*(Premissas!$C$38-Premissas!$C$37))*Premissas!$C$21*(1+Premissas!$C$26)^(6)</f>
        <v>19000.806069952545</v>
      </c>
      <c r="F78" s="43">
        <f>Dimensionador!$C$23*(Premissas!$C$37+0*(Premissas!$C$38-Premissas!$C$37))*Premissas!$C$20*(1+Premissas!$C$26)^(6)</f>
        <v>922.69667244941888</v>
      </c>
      <c r="G78" s="43">
        <f>Premissas!$C$25*(1+Premissas!$C$27)^(6)/12</f>
        <v>776.13399274384994</v>
      </c>
      <c r="H78" s="43">
        <f t="shared" si="6"/>
        <v>18078.109397503125</v>
      </c>
      <c r="I78" s="43">
        <f t="shared" si="7"/>
        <v>17301.975404759276</v>
      </c>
      <c r="J78" s="44">
        <f t="shared" si="8"/>
        <v>513713.26924508077</v>
      </c>
      <c r="K78" s="45">
        <f t="shared" si="10"/>
        <v>1033713.2692450803</v>
      </c>
      <c r="L78" s="46" t="str">
        <f t="shared" si="11"/>
        <v/>
      </c>
      <c r="M78" s="47">
        <f t="shared" si="9"/>
        <v>17301.975404759276</v>
      </c>
    </row>
    <row r="79" spans="1:13" ht="12.75" customHeight="1" x14ac:dyDescent="0.35">
      <c r="A79" s="48">
        <v>7</v>
      </c>
      <c r="B79" s="40" t="s">
        <v>75</v>
      </c>
      <c r="C79" s="41">
        <f>Premissas!$C$37+0.0833333333*(Premissas!$C$38-Premissas!$C$37)</f>
        <v>0.86850000000060001</v>
      </c>
      <c r="D79" s="42">
        <f>(1+Premissas!$C$26)^(6)</f>
        <v>1.5868743229440005</v>
      </c>
      <c r="E79" s="43">
        <f>Dimensionador!$C$22*(Premissas!$C$37+0.0833333333*(Premissas!$C$38-Premissas!$C$37))*Premissas!$C$21*(1+Premissas!$C$26)^(6)</f>
        <v>18968.046059500211</v>
      </c>
      <c r="F79" s="43">
        <f>Dimensionador!$C$23*(Premissas!$C$37+0.0833333333*(Premissas!$C$38-Premissas!$C$37))*Premissas!$C$20*(1+Premissas!$C$26)^(6)</f>
        <v>921.10581611824591</v>
      </c>
      <c r="G79" s="43">
        <f>Premissas!$C$25*(1+Premissas!$C$27)^(6)/12</f>
        <v>776.13399274384994</v>
      </c>
      <c r="H79" s="43">
        <f t="shared" si="6"/>
        <v>18046.940243381967</v>
      </c>
      <c r="I79" s="43">
        <f t="shared" si="7"/>
        <v>17270.806250638117</v>
      </c>
      <c r="J79" s="44">
        <f t="shared" si="8"/>
        <v>530984.07549571886</v>
      </c>
      <c r="K79" s="45">
        <f t="shared" si="10"/>
        <v>1050984.0754957185</v>
      </c>
      <c r="L79" s="46" t="str">
        <f t="shared" si="11"/>
        <v/>
      </c>
      <c r="M79" s="47">
        <f t="shared" si="9"/>
        <v>17270.806250638117</v>
      </c>
    </row>
    <row r="80" spans="1:13" ht="12.75" customHeight="1" x14ac:dyDescent="0.35">
      <c r="A80" s="48">
        <v>7</v>
      </c>
      <c r="B80" s="40" t="s">
        <v>76</v>
      </c>
      <c r="C80" s="41">
        <f>Premissas!$C$37+0.1666666667*(Premissas!$C$38-Premissas!$C$37)</f>
        <v>0.86699999999940003</v>
      </c>
      <c r="D80" s="42">
        <f>(1+Premissas!$C$26)^(6)</f>
        <v>1.5868743229440005</v>
      </c>
      <c r="E80" s="43">
        <f>Dimensionador!$C$22*(Premissas!$C$37+0.1666666667*(Premissas!$C$38-Premissas!$C$37))*Premissas!$C$21*(1+Premissas!$C$26)^(6)</f>
        <v>18935.286049008566</v>
      </c>
      <c r="F80" s="43">
        <f>Dimensionador!$C$23*(Premissas!$C$37+0.1666666667*(Premissas!$C$38-Premissas!$C$37))*Premissas!$C$20*(1+Premissas!$C$26)^(6)</f>
        <v>919.51495978516402</v>
      </c>
      <c r="G80" s="43">
        <f>Premissas!$C$25*(1+Premissas!$C$27)^(6)/12</f>
        <v>776.13399274384994</v>
      </c>
      <c r="H80" s="43">
        <f t="shared" si="6"/>
        <v>18015.771089223403</v>
      </c>
      <c r="I80" s="43">
        <f t="shared" si="7"/>
        <v>17239.637096479553</v>
      </c>
      <c r="J80" s="44">
        <f t="shared" si="8"/>
        <v>548223.7125921984</v>
      </c>
      <c r="K80" s="45">
        <f t="shared" si="10"/>
        <v>1068223.712592198</v>
      </c>
      <c r="L80" s="46" t="str">
        <f t="shared" si="11"/>
        <v/>
      </c>
      <c r="M80" s="47">
        <f t="shared" si="9"/>
        <v>17239.637096479553</v>
      </c>
    </row>
    <row r="81" spans="1:13" ht="12.75" customHeight="1" x14ac:dyDescent="0.35">
      <c r="A81" s="48">
        <v>7</v>
      </c>
      <c r="B81" s="40" t="s">
        <v>77</v>
      </c>
      <c r="C81" s="41">
        <f>Premissas!$C$37+0.25*(Premissas!$C$38-Premissas!$C$37)</f>
        <v>0.86549999999999994</v>
      </c>
      <c r="D81" s="42">
        <f>(1+Premissas!$C$26)^(6)</f>
        <v>1.5868743229440005</v>
      </c>
      <c r="E81" s="43">
        <f>Dimensionador!$C$22*(Premissas!$C$37+0.25*(Premissas!$C$38-Premissas!$C$37))*Premissas!$C$21*(1+Premissas!$C$26)^(6)</f>
        <v>18902.526038556232</v>
      </c>
      <c r="F81" s="43">
        <f>Dimensionador!$C$23*(Premissas!$C$37+0.25*(Premissas!$C$38-Premissas!$C$37))*Premissas!$C$20*(1+Premissas!$C$26)^(6)</f>
        <v>917.9241034539906</v>
      </c>
      <c r="G81" s="43">
        <f>Premissas!$C$25*(1+Premissas!$C$27)^(6)/12</f>
        <v>776.13399274384994</v>
      </c>
      <c r="H81" s="43">
        <f t="shared" si="6"/>
        <v>17984.601935102241</v>
      </c>
      <c r="I81" s="43">
        <f t="shared" si="7"/>
        <v>17208.467942358391</v>
      </c>
      <c r="J81" s="44">
        <f t="shared" si="8"/>
        <v>565432.18053455674</v>
      </c>
      <c r="K81" s="45">
        <f t="shared" si="10"/>
        <v>1085432.1805345565</v>
      </c>
      <c r="L81" s="46" t="str">
        <f t="shared" si="11"/>
        <v/>
      </c>
      <c r="M81" s="47">
        <f t="shared" si="9"/>
        <v>17208.467942358391</v>
      </c>
    </row>
    <row r="82" spans="1:13" ht="12.75" customHeight="1" x14ac:dyDescent="0.35">
      <c r="A82" s="48">
        <v>7</v>
      </c>
      <c r="B82" s="40" t="s">
        <v>78</v>
      </c>
      <c r="C82" s="41">
        <f>Premissas!$C$37+0.3333333333*(Premissas!$C$38-Premissas!$C$37)</f>
        <v>0.86400000000059995</v>
      </c>
      <c r="D82" s="42">
        <f>(1+Premissas!$C$26)^(6)</f>
        <v>1.5868743229440005</v>
      </c>
      <c r="E82" s="43">
        <f>Dimensionador!$C$22*(Premissas!$C$37+0.3333333333*(Premissas!$C$38-Premissas!$C$37))*Premissas!$C$21*(1+Premissas!$C$26)^(6)</f>
        <v>18869.766028103902</v>
      </c>
      <c r="F82" s="43">
        <f>Dimensionador!$C$23*(Premissas!$C$37+0.3333333333*(Premissas!$C$38-Premissas!$C$37))*Premissas!$C$20*(1+Premissas!$C$26)^(6)</f>
        <v>916.33324712281785</v>
      </c>
      <c r="G82" s="43">
        <f>Premissas!$C$25*(1+Premissas!$C$27)^(6)/12</f>
        <v>776.13399274384994</v>
      </c>
      <c r="H82" s="43">
        <f t="shared" si="6"/>
        <v>17953.432780981086</v>
      </c>
      <c r="I82" s="43">
        <f t="shared" si="7"/>
        <v>17177.298788237236</v>
      </c>
      <c r="J82" s="44">
        <f t="shared" si="8"/>
        <v>582609.47932279401</v>
      </c>
      <c r="K82" s="45">
        <f t="shared" si="10"/>
        <v>1102609.4793227937</v>
      </c>
      <c r="L82" s="46" t="str">
        <f t="shared" si="11"/>
        <v/>
      </c>
      <c r="M82" s="47">
        <f t="shared" si="9"/>
        <v>17177.298788237236</v>
      </c>
    </row>
    <row r="83" spans="1:13" ht="12.75" customHeight="1" x14ac:dyDescent="0.35">
      <c r="A83" s="48">
        <v>7</v>
      </c>
      <c r="B83" s="40" t="s">
        <v>79</v>
      </c>
      <c r="C83" s="41">
        <f>Premissas!$C$37+0.4166666667*(Premissas!$C$38-Premissas!$C$37)</f>
        <v>0.86249999999939997</v>
      </c>
      <c r="D83" s="42">
        <f>(1+Premissas!$C$26)^(6)</f>
        <v>1.5868743229440005</v>
      </c>
      <c r="E83" s="43">
        <f>Dimensionador!$C$22*(Premissas!$C$37+0.4166666667*(Premissas!$C$38-Premissas!$C$37))*Premissas!$C$21*(1+Premissas!$C$26)^(6)</f>
        <v>18837.006017612261</v>
      </c>
      <c r="F83" s="43">
        <f>Dimensionador!$C$23*(Premissas!$C$37+0.4166666667*(Premissas!$C$38-Premissas!$C$37))*Premissas!$C$20*(1+Premissas!$C$26)^(6)</f>
        <v>914.74239078973585</v>
      </c>
      <c r="G83" s="43">
        <f>Premissas!$C$25*(1+Premissas!$C$27)^(6)/12</f>
        <v>776.13399274384994</v>
      </c>
      <c r="H83" s="43">
        <f t="shared" si="6"/>
        <v>17922.263626822525</v>
      </c>
      <c r="I83" s="43">
        <f t="shared" si="7"/>
        <v>17146.129634078676</v>
      </c>
      <c r="J83" s="44">
        <f t="shared" si="8"/>
        <v>599755.60895687272</v>
      </c>
      <c r="K83" s="45">
        <f t="shared" si="10"/>
        <v>1119755.6089568723</v>
      </c>
      <c r="L83" s="46" t="str">
        <f t="shared" si="11"/>
        <v/>
      </c>
      <c r="M83" s="47">
        <f t="shared" si="9"/>
        <v>17146.129634078676</v>
      </c>
    </row>
    <row r="84" spans="1:13" ht="12.75" customHeight="1" x14ac:dyDescent="0.35">
      <c r="A84" s="48">
        <v>7</v>
      </c>
      <c r="B84" s="40" t="s">
        <v>80</v>
      </c>
      <c r="C84" s="41">
        <f>Premissas!$C$37+0.5*(Premissas!$C$38-Premissas!$C$37)</f>
        <v>0.86099999999999999</v>
      </c>
      <c r="D84" s="42">
        <f>(1+Premissas!$C$26)^(6)</f>
        <v>1.5868743229440005</v>
      </c>
      <c r="E84" s="43">
        <f>Dimensionador!$C$22*(Premissas!$C$37+0.5*(Premissas!$C$38-Premissas!$C$37))*Premissas!$C$21*(1+Premissas!$C$26)^(6)</f>
        <v>18804.246007159931</v>
      </c>
      <c r="F84" s="43">
        <f>Dimensionador!$C$23*(Premissas!$C$37+0.5*(Premissas!$C$38-Premissas!$C$37))*Premissas!$C$20*(1+Premissas!$C$26)^(6)</f>
        <v>913.15153445856276</v>
      </c>
      <c r="G84" s="43">
        <f>Premissas!$C$25*(1+Premissas!$C$27)^(6)/12</f>
        <v>776.13399274384994</v>
      </c>
      <c r="H84" s="43">
        <f t="shared" si="6"/>
        <v>17891.094472701367</v>
      </c>
      <c r="I84" s="43">
        <f t="shared" si="7"/>
        <v>17114.960479957517</v>
      </c>
      <c r="J84" s="44">
        <f t="shared" si="8"/>
        <v>616870.56943683024</v>
      </c>
      <c r="K84" s="45">
        <f t="shared" si="10"/>
        <v>1136870.5694368298</v>
      </c>
      <c r="L84" s="46" t="str">
        <f t="shared" si="11"/>
        <v/>
      </c>
      <c r="M84" s="47">
        <f t="shared" si="9"/>
        <v>17114.960479957517</v>
      </c>
    </row>
    <row r="85" spans="1:13" ht="12.75" customHeight="1" x14ac:dyDescent="0.35">
      <c r="A85" s="48">
        <v>7</v>
      </c>
      <c r="B85" s="40" t="s">
        <v>81</v>
      </c>
      <c r="C85" s="41">
        <f>Premissas!$C$37+0.5833333333*(Premissas!$C$38-Premissas!$C$37)</f>
        <v>0.85950000000060001</v>
      </c>
      <c r="D85" s="42">
        <f>(1+Premissas!$C$26)^(6)</f>
        <v>1.5868743229440005</v>
      </c>
      <c r="E85" s="43">
        <f>Dimensionador!$C$22*(Premissas!$C$37+0.5833333333*(Premissas!$C$38-Premissas!$C$37))*Premissas!$C$21*(1+Premissas!$C$26)^(6)</f>
        <v>18771.485996707601</v>
      </c>
      <c r="F85" s="43">
        <f>Dimensionador!$C$23*(Premissas!$C$37+0.5833333333*(Premissas!$C$38-Premissas!$C$37))*Premissas!$C$20*(1+Premissas!$C$26)^(6)</f>
        <v>911.56067812738979</v>
      </c>
      <c r="G85" s="43">
        <f>Premissas!$C$25*(1+Premissas!$C$27)^(6)/12</f>
        <v>776.13399274384994</v>
      </c>
      <c r="H85" s="43">
        <f t="shared" si="6"/>
        <v>17859.925318580212</v>
      </c>
      <c r="I85" s="43">
        <f t="shared" si="7"/>
        <v>17083.791325836362</v>
      </c>
      <c r="J85" s="44">
        <f t="shared" si="8"/>
        <v>633954.36076266656</v>
      </c>
      <c r="K85" s="45">
        <f t="shared" si="10"/>
        <v>1153954.3607626662</v>
      </c>
      <c r="L85" s="46" t="str">
        <f t="shared" si="11"/>
        <v/>
      </c>
      <c r="M85" s="47">
        <f t="shared" si="9"/>
        <v>17083.791325836362</v>
      </c>
    </row>
    <row r="86" spans="1:13" ht="12.75" customHeight="1" x14ac:dyDescent="0.35">
      <c r="A86" s="48">
        <v>7</v>
      </c>
      <c r="B86" s="40" t="s">
        <v>82</v>
      </c>
      <c r="C86" s="41">
        <f>Premissas!$C$37+0.6666666667*(Premissas!$C$38-Premissas!$C$37)</f>
        <v>0.85799999999940002</v>
      </c>
      <c r="D86" s="42">
        <f>(1+Premissas!$C$26)^(6)</f>
        <v>1.5868743229440005</v>
      </c>
      <c r="E86" s="43">
        <f>Dimensionador!$C$22*(Premissas!$C$37+0.6666666667*(Premissas!$C$38-Premissas!$C$37))*Premissas!$C$21*(1+Premissas!$C$26)^(6)</f>
        <v>18738.725986215955</v>
      </c>
      <c r="F86" s="43">
        <f>Dimensionador!$C$23*(Premissas!$C$37+0.6666666667*(Premissas!$C$38-Premissas!$C$37))*Premissas!$C$20*(1+Premissas!$C$26)^(6)</f>
        <v>909.96982179430779</v>
      </c>
      <c r="G86" s="43">
        <f>Premissas!$C$25*(1+Premissas!$C$27)^(6)/12</f>
        <v>776.13399274384994</v>
      </c>
      <c r="H86" s="43">
        <f t="shared" si="6"/>
        <v>17828.756164421648</v>
      </c>
      <c r="I86" s="43">
        <f t="shared" si="7"/>
        <v>17052.622171677798</v>
      </c>
      <c r="J86" s="44">
        <f t="shared" si="8"/>
        <v>651006.98293434433</v>
      </c>
      <c r="K86" s="45">
        <f t="shared" si="10"/>
        <v>1171006.9829343441</v>
      </c>
      <c r="L86" s="46" t="str">
        <f t="shared" si="11"/>
        <v/>
      </c>
      <c r="M86" s="47">
        <f t="shared" si="9"/>
        <v>17052.622171677798</v>
      </c>
    </row>
    <row r="87" spans="1:13" ht="12.75" customHeight="1" x14ac:dyDescent="0.35">
      <c r="A87" s="48">
        <v>7</v>
      </c>
      <c r="B87" s="40" t="s">
        <v>83</v>
      </c>
      <c r="C87" s="41">
        <f>Premissas!$C$37+0.75*(Premissas!$C$38-Premissas!$C$37)</f>
        <v>0.85650000000000004</v>
      </c>
      <c r="D87" s="42">
        <f>(1+Premissas!$C$26)^(6)</f>
        <v>1.5868743229440005</v>
      </c>
      <c r="E87" s="43">
        <f>Dimensionador!$C$22*(Premissas!$C$37+0.75*(Premissas!$C$38-Premissas!$C$37))*Premissas!$C$21*(1+Premissas!$C$26)^(6)</f>
        <v>18705.965975763622</v>
      </c>
      <c r="F87" s="43">
        <f>Dimensionador!$C$23*(Premissas!$C$37+0.75*(Premissas!$C$38-Premissas!$C$37))*Premissas!$C$20*(1+Premissas!$C$26)^(6)</f>
        <v>908.37896546313482</v>
      </c>
      <c r="G87" s="43">
        <f>Premissas!$C$25*(1+Premissas!$C$27)^(6)/12</f>
        <v>776.13399274384994</v>
      </c>
      <c r="H87" s="43">
        <f t="shared" si="6"/>
        <v>17797.587010300485</v>
      </c>
      <c r="I87" s="43">
        <f t="shared" si="7"/>
        <v>17021.453017556636</v>
      </c>
      <c r="J87" s="44">
        <f t="shared" si="8"/>
        <v>668028.43595190102</v>
      </c>
      <c r="K87" s="45">
        <f t="shared" si="10"/>
        <v>1188028.4359519007</v>
      </c>
      <c r="L87" s="46" t="str">
        <f t="shared" si="11"/>
        <v/>
      </c>
      <c r="M87" s="47">
        <f t="shared" si="9"/>
        <v>17021.453017556636</v>
      </c>
    </row>
    <row r="88" spans="1:13" ht="12.75" customHeight="1" x14ac:dyDescent="0.35">
      <c r="A88" s="48">
        <v>7</v>
      </c>
      <c r="B88" s="40" t="s">
        <v>84</v>
      </c>
      <c r="C88" s="41">
        <f>Premissas!$C$37+0.8333333333*(Premissas!$C$38-Premissas!$C$37)</f>
        <v>0.85500000000059995</v>
      </c>
      <c r="D88" s="42">
        <f>(1+Premissas!$C$26)^(6)</f>
        <v>1.5868743229440005</v>
      </c>
      <c r="E88" s="43">
        <f>Dimensionador!$C$22*(Premissas!$C$37+0.8333333333*(Premissas!$C$38-Premissas!$C$37))*Premissas!$C$21*(1+Premissas!$C$26)^(6)</f>
        <v>18673.205965311288</v>
      </c>
      <c r="F88" s="43">
        <f>Dimensionador!$C$23*(Premissas!$C$37+0.8333333333*(Premissas!$C$38-Premissas!$C$37))*Premissas!$C$20*(1+Premissas!$C$26)^(6)</f>
        <v>906.78810913196185</v>
      </c>
      <c r="G88" s="43">
        <f>Premissas!$C$25*(1+Premissas!$C$27)^(6)/12</f>
        <v>776.13399274384994</v>
      </c>
      <c r="H88" s="43">
        <f t="shared" si="6"/>
        <v>17766.417856179327</v>
      </c>
      <c r="I88" s="43">
        <f t="shared" si="7"/>
        <v>16990.283863435478</v>
      </c>
      <c r="J88" s="44">
        <f t="shared" si="8"/>
        <v>685018.71981533652</v>
      </c>
      <c r="K88" s="45">
        <f t="shared" si="10"/>
        <v>1205018.7198153362</v>
      </c>
      <c r="L88" s="46" t="str">
        <f t="shared" si="11"/>
        <v/>
      </c>
      <c r="M88" s="47">
        <f t="shared" si="9"/>
        <v>16990.283863435478</v>
      </c>
    </row>
    <row r="89" spans="1:13" ht="12.75" customHeight="1" x14ac:dyDescent="0.35">
      <c r="A89" s="49">
        <v>7</v>
      </c>
      <c r="B89" s="50" t="s">
        <v>85</v>
      </c>
      <c r="C89" s="51">
        <f>Premissas!$C$37+0.9166666667*(Premissas!$C$38-Premissas!$C$37)</f>
        <v>0.85349999999939996</v>
      </c>
      <c r="D89" s="52">
        <f>(1+Premissas!$C$26)^(6)</f>
        <v>1.5868743229440005</v>
      </c>
      <c r="E89" s="53">
        <f>Dimensionador!$C$22*(Premissas!$C$37+0.9166666667*(Premissas!$C$38-Premissas!$C$37))*Premissas!$C$21*(1+Premissas!$C$26)^(6)</f>
        <v>18640.445954819646</v>
      </c>
      <c r="F89" s="53">
        <f>Dimensionador!$C$23*(Premissas!$C$37+0.9166666667*(Premissas!$C$38-Premissas!$C$37))*Premissas!$C$20*(1+Premissas!$C$26)^(6)</f>
        <v>905.19725279887973</v>
      </c>
      <c r="G89" s="53">
        <f>Premissas!$C$25*(1+Premissas!$C$27)^(6)/12</f>
        <v>776.13399274384994</v>
      </c>
      <c r="H89" s="53">
        <f t="shared" si="6"/>
        <v>17735.248702020766</v>
      </c>
      <c r="I89" s="53">
        <f t="shared" si="7"/>
        <v>16959.114709276917</v>
      </c>
      <c r="J89" s="54">
        <f t="shared" si="8"/>
        <v>701977.83452461346</v>
      </c>
      <c r="K89" s="55">
        <f t="shared" si="10"/>
        <v>1221977.8345246131</v>
      </c>
      <c r="L89" s="56" t="str">
        <f t="shared" si="11"/>
        <v/>
      </c>
      <c r="M89" s="47">
        <f t="shared" si="9"/>
        <v>16959.114709276917</v>
      </c>
    </row>
    <row r="90" spans="1:13" ht="12.75" customHeight="1" x14ac:dyDescent="0.35">
      <c r="A90" s="57">
        <v>8</v>
      </c>
      <c r="B90" s="58" t="s">
        <v>73</v>
      </c>
      <c r="C90" s="59">
        <f>Premissas!$C$38+0*(Premissas!$C$39-Premissas!$C$38)</f>
        <v>0.85199999999999998</v>
      </c>
      <c r="D90" s="60">
        <f>(1+Premissas!$C$26)^(7)</f>
        <v>1.7138242687795207</v>
      </c>
      <c r="E90" s="61">
        <f>Dimensionador!$C$22*(Premissas!$C$38+0*(Premissas!$C$39-Premissas!$C$38))*Premissas!$C$21*(1+Premissas!$C$26)^(7)</f>
        <v>20096.300819916702</v>
      </c>
      <c r="F90" s="61">
        <f>Dimensionador!$C$23*(Premissas!$C$38+0*(Premissas!$C$39-Premissas!$C$38))*Premissas!$C$20*(1+Premissas!$C$26)^(7)</f>
        <v>975.89490818512331</v>
      </c>
      <c r="G90" s="61">
        <f>Premissas!$C$25*(1+Premissas!$C$27)^(7)/12</f>
        <v>799.41801252616551</v>
      </c>
      <c r="H90" s="61">
        <f t="shared" si="6"/>
        <v>19120.405911731577</v>
      </c>
      <c r="I90" s="61">
        <f t="shared" si="7"/>
        <v>18320.987899205411</v>
      </c>
      <c r="J90" s="62">
        <f t="shared" si="8"/>
        <v>720298.82242381887</v>
      </c>
      <c r="K90" s="63">
        <f t="shared" si="10"/>
        <v>1240298.8224238185</v>
      </c>
      <c r="L90" s="64" t="str">
        <f t="shared" si="11"/>
        <v/>
      </c>
      <c r="M90" s="47">
        <f t="shared" si="9"/>
        <v>18320.987899205411</v>
      </c>
    </row>
    <row r="91" spans="1:13" ht="12.75" customHeight="1" x14ac:dyDescent="0.35">
      <c r="A91" s="65">
        <v>8</v>
      </c>
      <c r="B91" s="58" t="s">
        <v>75</v>
      </c>
      <c r="C91" s="59">
        <f>Premissas!$C$38+0.0833333333*(Premissas!$C$39-Premissas!$C$38)</f>
        <v>0.8505000000006</v>
      </c>
      <c r="D91" s="60">
        <f>(1+Premissas!$C$26)^(7)</f>
        <v>1.7138242687795207</v>
      </c>
      <c r="E91" s="61">
        <f>Dimensionador!$C$22*(Premissas!$C$38+0.0833333333*(Premissas!$C$39-Premissas!$C$38))*Premissas!$C$21*(1+Premissas!$C$26)^(7)</f>
        <v>20060.920008628185</v>
      </c>
      <c r="F91" s="61">
        <f>Dimensionador!$C$23*(Premissas!$C$38+0.0833333333*(Premissas!$C$39-Premissas!$C$38))*Premissas!$C$20*(1+Premissas!$C$26)^(7)</f>
        <v>974.17678334745631</v>
      </c>
      <c r="G91" s="61">
        <f>Premissas!$C$25*(1+Premissas!$C$27)^(7)/12</f>
        <v>799.41801252616551</v>
      </c>
      <c r="H91" s="61">
        <f t="shared" si="6"/>
        <v>19086.74322528073</v>
      </c>
      <c r="I91" s="61">
        <f t="shared" si="7"/>
        <v>18287.325212754564</v>
      </c>
      <c r="J91" s="62">
        <f t="shared" si="8"/>
        <v>738586.14763657341</v>
      </c>
      <c r="K91" s="63">
        <f t="shared" si="10"/>
        <v>1258586.1476365731</v>
      </c>
      <c r="L91" s="64" t="str">
        <f t="shared" si="11"/>
        <v/>
      </c>
      <c r="M91" s="47">
        <f t="shared" si="9"/>
        <v>18287.325212754564</v>
      </c>
    </row>
    <row r="92" spans="1:13" ht="12.75" customHeight="1" x14ac:dyDescent="0.35">
      <c r="A92" s="65">
        <v>8</v>
      </c>
      <c r="B92" s="58" t="s">
        <v>76</v>
      </c>
      <c r="C92" s="59">
        <f>Premissas!$C$38+0.1666666667*(Premissas!$C$39-Premissas!$C$38)</f>
        <v>0.84899999999940001</v>
      </c>
      <c r="D92" s="60">
        <f>(1+Premissas!$C$26)^(7)</f>
        <v>1.7138242687795207</v>
      </c>
      <c r="E92" s="61">
        <f>Dimensionador!$C$22*(Premissas!$C$38+0.1666666667*(Premissas!$C$39-Premissas!$C$38))*Premissas!$C$21*(1+Premissas!$C$26)^(7)</f>
        <v>20025.539197297214</v>
      </c>
      <c r="F92" s="61">
        <f>Dimensionador!$C$23*(Premissas!$C$38+0.1666666667*(Premissas!$C$39-Premissas!$C$38))*Premissas!$C$20*(1+Premissas!$C$26)^(7)</f>
        <v>972.45865850772793</v>
      </c>
      <c r="G92" s="61">
        <f>Premissas!$C$25*(1+Premissas!$C$27)^(7)/12</f>
        <v>799.41801252616551</v>
      </c>
      <c r="H92" s="61">
        <f t="shared" si="6"/>
        <v>19053.080538789487</v>
      </c>
      <c r="I92" s="61">
        <f t="shared" si="7"/>
        <v>18253.662526263321</v>
      </c>
      <c r="J92" s="62">
        <f t="shared" si="8"/>
        <v>756839.81016283669</v>
      </c>
      <c r="K92" s="63">
        <f t="shared" si="10"/>
        <v>1276839.8101628365</v>
      </c>
      <c r="L92" s="64" t="str">
        <f t="shared" si="11"/>
        <v/>
      </c>
      <c r="M92" s="47">
        <f t="shared" si="9"/>
        <v>18253.662526263321</v>
      </c>
    </row>
    <row r="93" spans="1:13" ht="12.75" customHeight="1" x14ac:dyDescent="0.35">
      <c r="A93" s="65">
        <v>8</v>
      </c>
      <c r="B93" s="58" t="s">
        <v>77</v>
      </c>
      <c r="C93" s="59">
        <f>Premissas!$C$38+0.25*(Premissas!$C$39-Premissas!$C$38)</f>
        <v>0.84749999999999992</v>
      </c>
      <c r="D93" s="60">
        <f>(1+Premissas!$C$26)^(7)</f>
        <v>1.7138242687795207</v>
      </c>
      <c r="E93" s="61">
        <f>Dimensionador!$C$22*(Premissas!$C$38+0.25*(Premissas!$C$39-Premissas!$C$38))*Premissas!$C$21*(1+Premissas!$C$26)^(7)</f>
        <v>19990.15838600869</v>
      </c>
      <c r="F93" s="61">
        <f>Dimensionador!$C$23*(Premissas!$C$38+0.25*(Premissas!$C$39-Premissas!$C$38))*Premissas!$C$20*(1+Premissas!$C$26)^(7)</f>
        <v>970.74053367006093</v>
      </c>
      <c r="G93" s="61">
        <f>Premissas!$C$25*(1+Premissas!$C$27)^(7)/12</f>
        <v>799.41801252616551</v>
      </c>
      <c r="H93" s="61">
        <f t="shared" si="6"/>
        <v>19019.417852338629</v>
      </c>
      <c r="I93" s="61">
        <f t="shared" si="7"/>
        <v>18219.999839812463</v>
      </c>
      <c r="J93" s="62">
        <f t="shared" si="8"/>
        <v>775059.8100026492</v>
      </c>
      <c r="K93" s="63">
        <f t="shared" si="10"/>
        <v>1295059.810002649</v>
      </c>
      <c r="L93" s="64" t="str">
        <f t="shared" si="11"/>
        <v/>
      </c>
      <c r="M93" s="47">
        <f t="shared" si="9"/>
        <v>18219.999839812463</v>
      </c>
    </row>
    <row r="94" spans="1:13" ht="12.75" customHeight="1" x14ac:dyDescent="0.35">
      <c r="A94" s="65">
        <v>8</v>
      </c>
      <c r="B94" s="58" t="s">
        <v>78</v>
      </c>
      <c r="C94" s="59">
        <f>Premissas!$C$38+0.3333333333*(Premissas!$C$39-Premissas!$C$38)</f>
        <v>0.84600000000059994</v>
      </c>
      <c r="D94" s="60">
        <f>(1+Premissas!$C$26)^(7)</f>
        <v>1.7138242687795207</v>
      </c>
      <c r="E94" s="61">
        <f>Dimensionador!$C$22*(Premissas!$C$38+0.3333333333*(Premissas!$C$39-Premissas!$C$38))*Premissas!$C$21*(1+Premissas!$C$26)^(7)</f>
        <v>19954.777574720174</v>
      </c>
      <c r="F94" s="61">
        <f>Dimensionador!$C$23*(Premissas!$C$38+0.3333333333*(Premissas!$C$39-Premissas!$C$38))*Premissas!$C$20*(1+Premissas!$C$26)^(7)</f>
        <v>969.02240883239404</v>
      </c>
      <c r="G94" s="61">
        <f>Premissas!$C$25*(1+Premissas!$C$27)^(7)/12</f>
        <v>799.41801252616551</v>
      </c>
      <c r="H94" s="61">
        <f t="shared" si="6"/>
        <v>18985.755165887778</v>
      </c>
      <c r="I94" s="61">
        <f t="shared" si="7"/>
        <v>18186.337153361612</v>
      </c>
      <c r="J94" s="62">
        <f t="shared" si="8"/>
        <v>793246.14715601085</v>
      </c>
      <c r="K94" s="63">
        <f t="shared" si="10"/>
        <v>1313246.1471560106</v>
      </c>
      <c r="L94" s="64" t="str">
        <f t="shared" si="11"/>
        <v/>
      </c>
      <c r="M94" s="47">
        <f t="shared" si="9"/>
        <v>18186.337153361612</v>
      </c>
    </row>
    <row r="95" spans="1:13" ht="12.75" customHeight="1" x14ac:dyDescent="0.35">
      <c r="A95" s="65">
        <v>8</v>
      </c>
      <c r="B95" s="58" t="s">
        <v>79</v>
      </c>
      <c r="C95" s="59">
        <f>Premissas!$C$38+0.4166666667*(Premissas!$C$39-Premissas!$C$38)</f>
        <v>0.84449999999939995</v>
      </c>
      <c r="D95" s="60">
        <f>(1+Premissas!$C$26)^(7)</f>
        <v>1.7138242687795207</v>
      </c>
      <c r="E95" s="61">
        <f>Dimensionador!$C$22*(Premissas!$C$38+0.4166666667*(Premissas!$C$39-Premissas!$C$38))*Premissas!$C$21*(1+Premissas!$C$26)^(7)</f>
        <v>19919.396763389199</v>
      </c>
      <c r="F95" s="61">
        <f>Dimensionador!$C$23*(Premissas!$C$38+0.4166666667*(Premissas!$C$39-Premissas!$C$38))*Premissas!$C$20*(1+Premissas!$C$26)^(7)</f>
        <v>967.30428399266566</v>
      </c>
      <c r="G95" s="61">
        <f>Premissas!$C$25*(1+Premissas!$C$27)^(7)/12</f>
        <v>799.41801252616551</v>
      </c>
      <c r="H95" s="61">
        <f t="shared" si="6"/>
        <v>18952.092479396531</v>
      </c>
      <c r="I95" s="61">
        <f t="shared" si="7"/>
        <v>18152.674466870365</v>
      </c>
      <c r="J95" s="62">
        <f t="shared" si="8"/>
        <v>811398.82162288122</v>
      </c>
      <c r="K95" s="63">
        <f t="shared" si="10"/>
        <v>1331398.8216228809</v>
      </c>
      <c r="L95" s="64" t="str">
        <f t="shared" si="11"/>
        <v/>
      </c>
      <c r="M95" s="47">
        <f t="shared" si="9"/>
        <v>18152.674466870365</v>
      </c>
    </row>
    <row r="96" spans="1:13" ht="12.75" customHeight="1" x14ac:dyDescent="0.35">
      <c r="A96" s="65">
        <v>8</v>
      </c>
      <c r="B96" s="58" t="s">
        <v>80</v>
      </c>
      <c r="C96" s="59">
        <f>Premissas!$C$38+0.5*(Premissas!$C$39-Premissas!$C$38)</f>
        <v>0.84299999999999997</v>
      </c>
      <c r="D96" s="60">
        <f>(1+Premissas!$C$26)^(7)</f>
        <v>1.7138242687795207</v>
      </c>
      <c r="E96" s="61">
        <f>Dimensionador!$C$22*(Premissas!$C$38+0.5*(Premissas!$C$39-Premissas!$C$38))*Premissas!$C$21*(1+Premissas!$C$26)^(7)</f>
        <v>19884.015952100683</v>
      </c>
      <c r="F96" s="61">
        <f>Dimensionador!$C$23*(Premissas!$C$38+0.5*(Premissas!$C$39-Premissas!$C$38))*Premissas!$C$20*(1+Premissas!$C$26)^(7)</f>
        <v>965.58615915499865</v>
      </c>
      <c r="G96" s="61">
        <f>Premissas!$C$25*(1+Premissas!$C$27)^(7)/12</f>
        <v>799.41801252616551</v>
      </c>
      <c r="H96" s="61">
        <f t="shared" si="6"/>
        <v>18918.429792945684</v>
      </c>
      <c r="I96" s="61">
        <f t="shared" si="7"/>
        <v>18119.011780419518</v>
      </c>
      <c r="J96" s="62">
        <f t="shared" si="8"/>
        <v>829517.83340330073</v>
      </c>
      <c r="K96" s="63">
        <f t="shared" si="10"/>
        <v>1349517.8334033005</v>
      </c>
      <c r="L96" s="64" t="str">
        <f t="shared" si="11"/>
        <v/>
      </c>
      <c r="M96" s="47">
        <f t="shared" si="9"/>
        <v>18119.011780419518</v>
      </c>
    </row>
    <row r="97" spans="1:13" ht="12.75" customHeight="1" x14ac:dyDescent="0.35">
      <c r="A97" s="65">
        <v>8</v>
      </c>
      <c r="B97" s="58" t="s">
        <v>81</v>
      </c>
      <c r="C97" s="59">
        <f>Premissas!$C$38+0.5833333333*(Premissas!$C$39-Premissas!$C$38)</f>
        <v>0.84150000000059999</v>
      </c>
      <c r="D97" s="60">
        <f>(1+Premissas!$C$26)^(7)</f>
        <v>1.7138242687795207</v>
      </c>
      <c r="E97" s="61">
        <f>Dimensionador!$C$22*(Premissas!$C$38+0.5833333333*(Premissas!$C$39-Premissas!$C$38))*Premissas!$C$21*(1+Premissas!$C$26)^(7)</f>
        <v>19848.635140812166</v>
      </c>
      <c r="F97" s="61">
        <f>Dimensionador!$C$23*(Premissas!$C$38+0.5833333333*(Premissas!$C$39-Premissas!$C$38))*Premissas!$C$20*(1+Premissas!$C$26)^(7)</f>
        <v>963.86803431733199</v>
      </c>
      <c r="G97" s="61">
        <f>Premissas!$C$25*(1+Premissas!$C$27)^(7)/12</f>
        <v>799.41801252616551</v>
      </c>
      <c r="H97" s="61">
        <f t="shared" si="6"/>
        <v>18884.767106494834</v>
      </c>
      <c r="I97" s="61">
        <f t="shared" si="7"/>
        <v>18085.349093968667</v>
      </c>
      <c r="J97" s="62">
        <f t="shared" si="8"/>
        <v>847603.18249726936</v>
      </c>
      <c r="K97" s="63">
        <f t="shared" si="10"/>
        <v>1367603.1824972692</v>
      </c>
      <c r="L97" s="64" t="str">
        <f t="shared" si="11"/>
        <v/>
      </c>
      <c r="M97" s="47">
        <f t="shared" si="9"/>
        <v>18085.349093968667</v>
      </c>
    </row>
    <row r="98" spans="1:13" ht="12.75" customHeight="1" x14ac:dyDescent="0.35">
      <c r="A98" s="65">
        <v>8</v>
      </c>
      <c r="B98" s="58" t="s">
        <v>82</v>
      </c>
      <c r="C98" s="59">
        <f>Premissas!$C$38+0.6666666667*(Premissas!$C$39-Premissas!$C$38)</f>
        <v>0.8399999999994</v>
      </c>
      <c r="D98" s="60">
        <f>(1+Premissas!$C$26)^(7)</f>
        <v>1.7138242687795207</v>
      </c>
      <c r="E98" s="61">
        <f>Dimensionador!$C$22*(Premissas!$C$38+0.6666666667*(Premissas!$C$39-Premissas!$C$38))*Premissas!$C$21*(1+Premissas!$C$26)^(7)</f>
        <v>19813.254329481188</v>
      </c>
      <c r="F98" s="61">
        <f>Dimensionador!$C$23*(Premissas!$C$38+0.6666666667*(Premissas!$C$39-Premissas!$C$38))*Premissas!$C$20*(1+Premissas!$C$26)^(7)</f>
        <v>962.14990947760327</v>
      </c>
      <c r="G98" s="61">
        <f>Premissas!$C$25*(1+Premissas!$C$27)^(7)/12</f>
        <v>799.41801252616551</v>
      </c>
      <c r="H98" s="61">
        <f t="shared" si="6"/>
        <v>18851.104420003583</v>
      </c>
      <c r="I98" s="61">
        <f t="shared" si="7"/>
        <v>18051.686407477417</v>
      </c>
      <c r="J98" s="62">
        <f t="shared" si="8"/>
        <v>865654.86890474672</v>
      </c>
      <c r="K98" s="63">
        <f t="shared" si="10"/>
        <v>1385654.8689047466</v>
      </c>
      <c r="L98" s="64" t="str">
        <f t="shared" si="11"/>
        <v/>
      </c>
      <c r="M98" s="47">
        <f t="shared" si="9"/>
        <v>18051.686407477417</v>
      </c>
    </row>
    <row r="99" spans="1:13" ht="12.75" customHeight="1" x14ac:dyDescent="0.35">
      <c r="A99" s="65">
        <v>8</v>
      </c>
      <c r="B99" s="58" t="s">
        <v>83</v>
      </c>
      <c r="C99" s="59">
        <f>Premissas!$C$38+0.75*(Premissas!$C$39-Premissas!$C$38)</f>
        <v>0.83850000000000002</v>
      </c>
      <c r="D99" s="60">
        <f>(1+Premissas!$C$26)^(7)</f>
        <v>1.7138242687795207</v>
      </c>
      <c r="E99" s="61">
        <f>Dimensionador!$C$22*(Premissas!$C$38+0.75*(Premissas!$C$39-Premissas!$C$38))*Premissas!$C$21*(1+Premissas!$C$26)^(7)</f>
        <v>19777.873518192671</v>
      </c>
      <c r="F99" s="61">
        <f>Dimensionador!$C$23*(Premissas!$C$38+0.75*(Premissas!$C$39-Premissas!$C$38))*Premissas!$C$20*(1+Premissas!$C$26)^(7)</f>
        <v>960.43178463993661</v>
      </c>
      <c r="G99" s="61">
        <f>Premissas!$C$25*(1+Premissas!$C$27)^(7)/12</f>
        <v>799.41801252616551</v>
      </c>
      <c r="H99" s="61">
        <f t="shared" si="6"/>
        <v>18817.441733552736</v>
      </c>
      <c r="I99" s="61">
        <f t="shared" si="7"/>
        <v>18018.02372102657</v>
      </c>
      <c r="J99" s="62">
        <f t="shared" si="8"/>
        <v>883672.89262577333</v>
      </c>
      <c r="K99" s="63">
        <f t="shared" si="10"/>
        <v>1403672.8926257731</v>
      </c>
      <c r="L99" s="64" t="str">
        <f t="shared" si="11"/>
        <v/>
      </c>
      <c r="M99" s="47">
        <f t="shared" si="9"/>
        <v>18018.02372102657</v>
      </c>
    </row>
    <row r="100" spans="1:13" ht="12.75" customHeight="1" x14ac:dyDescent="0.35">
      <c r="A100" s="65">
        <v>8</v>
      </c>
      <c r="B100" s="58" t="s">
        <v>84</v>
      </c>
      <c r="C100" s="59">
        <f>Premissas!$C$38+0.8333333333*(Premissas!$C$39-Premissas!$C$38)</f>
        <v>0.83700000000059993</v>
      </c>
      <c r="D100" s="60">
        <f>(1+Premissas!$C$26)^(7)</f>
        <v>1.7138242687795207</v>
      </c>
      <c r="E100" s="61">
        <f>Dimensionador!$C$22*(Premissas!$C$38+0.8333333333*(Premissas!$C$39-Premissas!$C$38))*Premissas!$C$21*(1+Premissas!$C$26)^(7)</f>
        <v>19742.492706904151</v>
      </c>
      <c r="F100" s="61">
        <f>Dimensionador!$C$23*(Premissas!$C$38+0.8333333333*(Premissas!$C$39-Premissas!$C$38))*Premissas!$C$20*(1+Premissas!$C$26)^(7)</f>
        <v>958.71365980226972</v>
      </c>
      <c r="G100" s="61">
        <f>Premissas!$C$25*(1+Premissas!$C$27)^(7)/12</f>
        <v>799.41801252616551</v>
      </c>
      <c r="H100" s="61">
        <f t="shared" si="6"/>
        <v>18783.779047101882</v>
      </c>
      <c r="I100" s="61">
        <f t="shared" si="7"/>
        <v>17984.361034575715</v>
      </c>
      <c r="J100" s="62">
        <f t="shared" si="8"/>
        <v>901657.25366034906</v>
      </c>
      <c r="K100" s="63">
        <f t="shared" si="10"/>
        <v>1421657.2536603487</v>
      </c>
      <c r="L100" s="64" t="str">
        <f t="shared" si="11"/>
        <v/>
      </c>
      <c r="M100" s="47">
        <f t="shared" si="9"/>
        <v>17984.361034575715</v>
      </c>
    </row>
    <row r="101" spans="1:13" ht="12.75" customHeight="1" x14ac:dyDescent="0.35">
      <c r="A101" s="66">
        <v>8</v>
      </c>
      <c r="B101" s="67" t="s">
        <v>85</v>
      </c>
      <c r="C101" s="68">
        <f>Premissas!$C$38+0.9166666667*(Premissas!$C$39-Premissas!$C$38)</f>
        <v>0.83549999999939994</v>
      </c>
      <c r="D101" s="69">
        <f>(1+Premissas!$C$26)^(7)</f>
        <v>1.7138242687795207</v>
      </c>
      <c r="E101" s="70">
        <f>Dimensionador!$C$22*(Premissas!$C$38+0.9166666667*(Premissas!$C$39-Premissas!$C$38))*Premissas!$C$21*(1+Premissas!$C$26)^(7)</f>
        <v>19707.111895573176</v>
      </c>
      <c r="F101" s="70">
        <f>Dimensionador!$C$23*(Premissas!$C$38+0.9166666667*(Premissas!$C$39-Premissas!$C$38))*Premissas!$C$20*(1+Premissas!$C$26)^(7)</f>
        <v>956.995534962541</v>
      </c>
      <c r="G101" s="70">
        <f>Premissas!$C$25*(1+Premissas!$C$27)^(7)/12</f>
        <v>799.41801252616551</v>
      </c>
      <c r="H101" s="70">
        <f t="shared" si="6"/>
        <v>18750.116360610635</v>
      </c>
      <c r="I101" s="70">
        <f t="shared" si="7"/>
        <v>17950.698348084468</v>
      </c>
      <c r="J101" s="71">
        <f t="shared" si="8"/>
        <v>919607.95200843352</v>
      </c>
      <c r="K101" s="72">
        <f t="shared" si="10"/>
        <v>1439607.9520084332</v>
      </c>
      <c r="L101" s="73" t="str">
        <f t="shared" si="11"/>
        <v/>
      </c>
      <c r="M101" s="47">
        <f t="shared" si="9"/>
        <v>17950.698348084468</v>
      </c>
    </row>
    <row r="102" spans="1:13" ht="12.75" customHeight="1" x14ac:dyDescent="0.35">
      <c r="A102" s="39">
        <v>9</v>
      </c>
      <c r="B102" s="40" t="s">
        <v>73</v>
      </c>
      <c r="C102" s="41">
        <f>Premissas!$C$39+0*(Premissas!$C$40-Premissas!$C$39)</f>
        <v>0.83399999999999996</v>
      </c>
      <c r="D102" s="42">
        <f>(1+Premissas!$C$26)^(8)</f>
        <v>1.8509302102818823</v>
      </c>
      <c r="E102" s="43">
        <f>Dimensionador!$C$22*(Premissas!$C$39+0*(Premissas!$C$40-Premissas!$C$39))*Premissas!$C$21*(1+Premissas!$C$26)^(8)</f>
        <v>21245.469571027432</v>
      </c>
      <c r="F102" s="43">
        <f>Dimensionador!$C$23*(Premissas!$C$39+0*(Premissas!$C$40-Premissas!$C$39))*Premissas!$C$20*(1+Premissas!$C$26)^(8)</f>
        <v>1031.6996029348643</v>
      </c>
      <c r="G102" s="43">
        <f>Premissas!$C$25*(1+Premissas!$C$27)^(8)/12</f>
        <v>823.40055290195039</v>
      </c>
      <c r="H102" s="43">
        <f t="shared" si="6"/>
        <v>20213.769968092569</v>
      </c>
      <c r="I102" s="43">
        <f t="shared" si="7"/>
        <v>19390.36941519062</v>
      </c>
      <c r="J102" s="44">
        <f t="shared" si="8"/>
        <v>938998.32142362418</v>
      </c>
      <c r="K102" s="45">
        <f t="shared" si="10"/>
        <v>1458998.3214236237</v>
      </c>
      <c r="L102" s="46" t="str">
        <f t="shared" si="11"/>
        <v/>
      </c>
      <c r="M102" s="47">
        <f t="shared" si="9"/>
        <v>19390.36941519062</v>
      </c>
    </row>
    <row r="103" spans="1:13" ht="12.75" customHeight="1" x14ac:dyDescent="0.35">
      <c r="A103" s="48">
        <v>9</v>
      </c>
      <c r="B103" s="40" t="s">
        <v>75</v>
      </c>
      <c r="C103" s="41">
        <f>Premissas!$C$39+0.0833333333*(Premissas!$C$40-Premissas!$C$39)</f>
        <v>0.8325833333339</v>
      </c>
      <c r="D103" s="42">
        <f>(1+Premissas!$C$26)^(8)</f>
        <v>1.8509302102818823</v>
      </c>
      <c r="E103" s="43">
        <f>Dimensionador!$C$22*(Premissas!$C$39+0.0833333333*(Premissas!$C$40-Premissas!$C$39))*Premissas!$C$21*(1+Premissas!$C$26)^(8)</f>
        <v>21209.381143513143</v>
      </c>
      <c r="F103" s="43">
        <f>Dimensionador!$C$23*(Premissas!$C$39+0.0833333333*(Premissas!$C$40-Premissas!$C$39))*Premissas!$C$20*(1+Premissas!$C$26)^(8)</f>
        <v>1029.947115600444</v>
      </c>
      <c r="G103" s="43">
        <f>Premissas!$C$25*(1+Premissas!$C$27)^(8)/12</f>
        <v>823.40055290195039</v>
      </c>
      <c r="H103" s="43">
        <f t="shared" si="6"/>
        <v>20179.434027912699</v>
      </c>
      <c r="I103" s="43">
        <f t="shared" si="7"/>
        <v>19356.03347501075</v>
      </c>
      <c r="J103" s="44">
        <f t="shared" si="8"/>
        <v>958354.35489863495</v>
      </c>
      <c r="K103" s="45">
        <f t="shared" si="10"/>
        <v>1478354.3548986344</v>
      </c>
      <c r="L103" s="46" t="str">
        <f t="shared" si="11"/>
        <v/>
      </c>
      <c r="M103" s="47">
        <f t="shared" si="9"/>
        <v>19356.03347501075</v>
      </c>
    </row>
    <row r="104" spans="1:13" ht="12.75" customHeight="1" x14ac:dyDescent="0.35">
      <c r="A104" s="48">
        <v>9</v>
      </c>
      <c r="B104" s="40" t="s">
        <v>76</v>
      </c>
      <c r="C104" s="41">
        <f>Premissas!$C$39+0.1666666667*(Premissas!$C$40-Premissas!$C$39)</f>
        <v>0.83116666666609995</v>
      </c>
      <c r="D104" s="42">
        <f>(1+Premissas!$C$26)^(8)</f>
        <v>1.8509302102818823</v>
      </c>
      <c r="E104" s="43">
        <f>Dimensionador!$C$22*(Premissas!$C$39+0.1666666667*(Premissas!$C$40-Premissas!$C$39))*Premissas!$C$21*(1+Premissas!$C$26)^(8)</f>
        <v>21173.292715955547</v>
      </c>
      <c r="F104" s="43">
        <f>Dimensionador!$C$23*(Premissas!$C$39+0.1666666667*(Premissas!$C$40-Premissas!$C$39))*Premissas!$C$20*(1+Premissas!$C$26)^(8)</f>
        <v>1028.1946282639208</v>
      </c>
      <c r="G104" s="43">
        <f>Premissas!$C$25*(1+Premissas!$C$27)^(8)/12</f>
        <v>823.40055290195039</v>
      </c>
      <c r="H104" s="43">
        <f t="shared" si="6"/>
        <v>20145.098087691626</v>
      </c>
      <c r="I104" s="43">
        <f t="shared" si="7"/>
        <v>19321.697534789677</v>
      </c>
      <c r="J104" s="44">
        <f t="shared" si="8"/>
        <v>977676.05243342463</v>
      </c>
      <c r="K104" s="45">
        <f t="shared" si="10"/>
        <v>1497676.0524334239</v>
      </c>
      <c r="L104" s="46" t="str">
        <f t="shared" si="11"/>
        <v/>
      </c>
      <c r="M104" s="47">
        <f t="shared" si="9"/>
        <v>19321.697534789677</v>
      </c>
    </row>
    <row r="105" spans="1:13" ht="12.75" customHeight="1" x14ac:dyDescent="0.35">
      <c r="A105" s="48">
        <v>9</v>
      </c>
      <c r="B105" s="40" t="s">
        <v>77</v>
      </c>
      <c r="C105" s="41">
        <f>Premissas!$C$39+0.25*(Premissas!$C$40-Premissas!$C$39)</f>
        <v>0.82974999999999999</v>
      </c>
      <c r="D105" s="42">
        <f>(1+Premissas!$C$26)^(8)</f>
        <v>1.8509302102818823</v>
      </c>
      <c r="E105" s="43">
        <f>Dimensionador!$C$22*(Premissas!$C$39+0.25*(Premissas!$C$40-Premissas!$C$39))*Premissas!$C$21*(1+Premissas!$C$26)^(8)</f>
        <v>21137.204288441262</v>
      </c>
      <c r="F105" s="43">
        <f>Dimensionador!$C$23*(Premissas!$C$39+0.25*(Premissas!$C$40-Premissas!$C$39))*Premissas!$C$20*(1+Premissas!$C$26)^(8)</f>
        <v>1026.4421409295007</v>
      </c>
      <c r="G105" s="43">
        <f>Premissas!$C$25*(1+Premissas!$C$27)^(8)/12</f>
        <v>823.40055290195039</v>
      </c>
      <c r="H105" s="43">
        <f t="shared" si="6"/>
        <v>20110.762147511763</v>
      </c>
      <c r="I105" s="43">
        <f t="shared" si="7"/>
        <v>19287.361594609814</v>
      </c>
      <c r="J105" s="44">
        <f t="shared" si="8"/>
        <v>996963.41402803443</v>
      </c>
      <c r="K105" s="45">
        <f t="shared" si="10"/>
        <v>1516963.4140280338</v>
      </c>
      <c r="L105" s="46" t="str">
        <f t="shared" si="11"/>
        <v/>
      </c>
      <c r="M105" s="47">
        <f t="shared" si="9"/>
        <v>19287.361594609814</v>
      </c>
    </row>
    <row r="106" spans="1:13" ht="12.75" customHeight="1" x14ac:dyDescent="0.35">
      <c r="A106" s="48">
        <v>9</v>
      </c>
      <c r="B106" s="40" t="s">
        <v>78</v>
      </c>
      <c r="C106" s="41">
        <f>Premissas!$C$39+0.3333333333*(Premissas!$C$40-Premissas!$C$39)</f>
        <v>0.82833333333389991</v>
      </c>
      <c r="D106" s="42">
        <f>(1+Premissas!$C$26)^(8)</f>
        <v>1.8509302102818823</v>
      </c>
      <c r="E106" s="43">
        <f>Dimensionador!$C$22*(Premissas!$C$39+0.3333333333*(Premissas!$C$40-Premissas!$C$39))*Premissas!$C$21*(1+Premissas!$C$26)^(8)</f>
        <v>21101.115860926973</v>
      </c>
      <c r="F106" s="43">
        <f>Dimensionador!$C$23*(Premissas!$C$39+0.3333333333*(Premissas!$C$40-Premissas!$C$39))*Premissas!$C$20*(1+Premissas!$C$26)^(8)</f>
        <v>1024.6896535950805</v>
      </c>
      <c r="G106" s="43">
        <f>Premissas!$C$25*(1+Premissas!$C$27)^(8)/12</f>
        <v>823.40055290195039</v>
      </c>
      <c r="H106" s="43">
        <f t="shared" si="6"/>
        <v>20076.426207331893</v>
      </c>
      <c r="I106" s="43">
        <f t="shared" si="7"/>
        <v>19253.025654429945</v>
      </c>
      <c r="J106" s="44">
        <f t="shared" si="8"/>
        <v>1016216.4396824643</v>
      </c>
      <c r="K106" s="45">
        <f t="shared" si="10"/>
        <v>1536216.4396824639</v>
      </c>
      <c r="L106" s="46" t="str">
        <f t="shared" si="11"/>
        <v/>
      </c>
      <c r="M106" s="47">
        <f t="shared" si="9"/>
        <v>19253.025654429945</v>
      </c>
    </row>
    <row r="107" spans="1:13" ht="12.75" customHeight="1" x14ac:dyDescent="0.35">
      <c r="A107" s="48">
        <v>9</v>
      </c>
      <c r="B107" s="40" t="s">
        <v>79</v>
      </c>
      <c r="C107" s="41">
        <f>Premissas!$C$39+0.4166666667*(Premissas!$C$40-Premissas!$C$39)</f>
        <v>0.82691666666609998</v>
      </c>
      <c r="D107" s="42">
        <f>(1+Premissas!$C$26)^(8)</f>
        <v>1.8509302102818823</v>
      </c>
      <c r="E107" s="43">
        <f>Dimensionador!$C$22*(Premissas!$C$39+0.4166666667*(Premissas!$C$40-Premissas!$C$39))*Premissas!$C$21*(1+Premissas!$C$26)^(8)</f>
        <v>21065.027433369378</v>
      </c>
      <c r="F107" s="43">
        <f>Dimensionador!$C$23*(Premissas!$C$39+0.4166666667*(Premissas!$C$40-Premissas!$C$39))*Premissas!$C$20*(1+Premissas!$C$26)^(8)</f>
        <v>1022.9371662585573</v>
      </c>
      <c r="G107" s="43">
        <f>Premissas!$C$25*(1+Premissas!$C$27)^(8)/12</f>
        <v>823.40055290195039</v>
      </c>
      <c r="H107" s="43">
        <f t="shared" si="6"/>
        <v>20042.09026711082</v>
      </c>
      <c r="I107" s="43">
        <f t="shared" si="7"/>
        <v>19218.689714208871</v>
      </c>
      <c r="J107" s="44">
        <f t="shared" si="8"/>
        <v>1035435.1293966732</v>
      </c>
      <c r="K107" s="45">
        <f t="shared" si="10"/>
        <v>1555435.1293966728</v>
      </c>
      <c r="L107" s="46" t="str">
        <f t="shared" si="11"/>
        <v/>
      </c>
      <c r="M107" s="47">
        <f t="shared" si="9"/>
        <v>19218.689714208871</v>
      </c>
    </row>
    <row r="108" spans="1:13" ht="12.75" customHeight="1" x14ac:dyDescent="0.35">
      <c r="A108" s="48">
        <v>9</v>
      </c>
      <c r="B108" s="40" t="s">
        <v>80</v>
      </c>
      <c r="C108" s="41">
        <f>Premissas!$C$39+0.5*(Premissas!$C$40-Premissas!$C$39)</f>
        <v>0.8254999999999999</v>
      </c>
      <c r="D108" s="42">
        <f>(1+Premissas!$C$26)^(8)</f>
        <v>1.8509302102818823</v>
      </c>
      <c r="E108" s="43">
        <f>Dimensionador!$C$22*(Premissas!$C$39+0.5*(Premissas!$C$40-Premissas!$C$39))*Premissas!$C$21*(1+Premissas!$C$26)^(8)</f>
        <v>21028.939005855089</v>
      </c>
      <c r="F108" s="43">
        <f>Dimensionador!$C$23*(Premissas!$C$39+0.5*(Premissas!$C$40-Premissas!$C$39))*Premissas!$C$20*(1+Premissas!$C$26)^(8)</f>
        <v>1021.184678924137</v>
      </c>
      <c r="G108" s="43">
        <f>Premissas!$C$25*(1+Premissas!$C$27)^(8)/12</f>
        <v>823.40055290195039</v>
      </c>
      <c r="H108" s="43">
        <f t="shared" si="6"/>
        <v>20007.754326930954</v>
      </c>
      <c r="I108" s="43">
        <f t="shared" si="7"/>
        <v>19184.353774029005</v>
      </c>
      <c r="J108" s="44">
        <f t="shared" si="8"/>
        <v>1054619.4831707021</v>
      </c>
      <c r="K108" s="45">
        <f t="shared" si="10"/>
        <v>1574619.4831707019</v>
      </c>
      <c r="L108" s="46" t="str">
        <f t="shared" si="11"/>
        <v/>
      </c>
      <c r="M108" s="47">
        <f t="shared" si="9"/>
        <v>19184.353774029005</v>
      </c>
    </row>
    <row r="109" spans="1:13" ht="12.75" customHeight="1" x14ac:dyDescent="0.35">
      <c r="A109" s="48">
        <v>9</v>
      </c>
      <c r="B109" s="40" t="s">
        <v>81</v>
      </c>
      <c r="C109" s="41">
        <f>Premissas!$C$39+0.5833333333*(Premissas!$C$40-Premissas!$C$39)</f>
        <v>0.82408333333389994</v>
      </c>
      <c r="D109" s="42">
        <f>(1+Premissas!$C$26)^(8)</f>
        <v>1.8509302102818823</v>
      </c>
      <c r="E109" s="43">
        <f>Dimensionador!$C$22*(Premissas!$C$39+0.5833333333*(Premissas!$C$40-Premissas!$C$39))*Premissas!$C$21*(1+Premissas!$C$26)^(8)</f>
        <v>20992.850578340804</v>
      </c>
      <c r="F109" s="43">
        <f>Dimensionador!$C$23*(Premissas!$C$39+0.5833333333*(Premissas!$C$40-Premissas!$C$39))*Premissas!$C$20*(1+Premissas!$C$26)^(8)</f>
        <v>1019.4321915897167</v>
      </c>
      <c r="G109" s="43">
        <f>Premissas!$C$25*(1+Premissas!$C$27)^(8)/12</f>
        <v>823.40055290195039</v>
      </c>
      <c r="H109" s="43">
        <f t="shared" si="6"/>
        <v>19973.418386751087</v>
      </c>
      <c r="I109" s="43">
        <f t="shared" si="7"/>
        <v>19150.017833849139</v>
      </c>
      <c r="J109" s="44">
        <f t="shared" si="8"/>
        <v>1073769.5010045513</v>
      </c>
      <c r="K109" s="45">
        <f t="shared" si="10"/>
        <v>1593769.5010045511</v>
      </c>
      <c r="L109" s="46" t="str">
        <f t="shared" si="11"/>
        <v/>
      </c>
      <c r="M109" s="47">
        <f t="shared" si="9"/>
        <v>19150.017833849139</v>
      </c>
    </row>
    <row r="110" spans="1:13" ht="12.75" customHeight="1" x14ac:dyDescent="0.35">
      <c r="A110" s="48">
        <v>9</v>
      </c>
      <c r="B110" s="40" t="s">
        <v>82</v>
      </c>
      <c r="C110" s="41">
        <f>Premissas!$C$39+0.6666666667*(Premissas!$C$40-Premissas!$C$39)</f>
        <v>0.8226666666661</v>
      </c>
      <c r="D110" s="42">
        <f>(1+Premissas!$C$26)^(8)</f>
        <v>1.8509302102818823</v>
      </c>
      <c r="E110" s="43">
        <f>Dimensionador!$C$22*(Premissas!$C$39+0.6666666667*(Premissas!$C$40-Premissas!$C$39))*Premissas!$C$21*(1+Premissas!$C$26)^(8)</f>
        <v>20956.762150783212</v>
      </c>
      <c r="F110" s="43">
        <f>Dimensionador!$C$23*(Premissas!$C$39+0.6666666667*(Premissas!$C$40-Premissas!$C$39))*Premissas!$C$20*(1+Premissas!$C$26)^(8)</f>
        <v>1017.6797042531937</v>
      </c>
      <c r="G110" s="43">
        <f>Premissas!$C$25*(1+Premissas!$C$27)^(8)/12</f>
        <v>823.40055290195039</v>
      </c>
      <c r="H110" s="43">
        <f t="shared" si="6"/>
        <v>19939.082446530017</v>
      </c>
      <c r="I110" s="43">
        <f t="shared" si="7"/>
        <v>19115.681893628069</v>
      </c>
      <c r="J110" s="44">
        <f t="shared" si="8"/>
        <v>1092885.1828981794</v>
      </c>
      <c r="K110" s="45">
        <f t="shared" si="10"/>
        <v>1612885.1828981792</v>
      </c>
      <c r="L110" s="46" t="str">
        <f t="shared" si="11"/>
        <v/>
      </c>
      <c r="M110" s="47">
        <f t="shared" si="9"/>
        <v>19115.681893628069</v>
      </c>
    </row>
    <row r="111" spans="1:13" ht="12.75" customHeight="1" x14ac:dyDescent="0.35">
      <c r="A111" s="48">
        <v>9</v>
      </c>
      <c r="B111" s="40" t="s">
        <v>83</v>
      </c>
      <c r="C111" s="41">
        <f>Premissas!$C$39+0.75*(Premissas!$C$40-Premissas!$C$39)</f>
        <v>0.82124999999999992</v>
      </c>
      <c r="D111" s="42">
        <f>(1+Premissas!$C$26)^(8)</f>
        <v>1.8509302102818823</v>
      </c>
      <c r="E111" s="43">
        <f>Dimensionador!$C$22*(Premissas!$C$39+0.75*(Premissas!$C$40-Premissas!$C$39))*Premissas!$C$21*(1+Premissas!$C$26)^(8)</f>
        <v>20920.673723268916</v>
      </c>
      <c r="F111" s="43">
        <f>Dimensionador!$C$23*(Premissas!$C$39+0.75*(Premissas!$C$40-Premissas!$C$39))*Premissas!$C$20*(1+Premissas!$C$26)^(8)</f>
        <v>1015.9272169187735</v>
      </c>
      <c r="G111" s="43">
        <f>Premissas!$C$25*(1+Premissas!$C$27)^(8)/12</f>
        <v>823.40055290195039</v>
      </c>
      <c r="H111" s="43">
        <f t="shared" si="6"/>
        <v>19904.74650635014</v>
      </c>
      <c r="I111" s="43">
        <f t="shared" si="7"/>
        <v>19081.345953448192</v>
      </c>
      <c r="J111" s="44">
        <f t="shared" si="8"/>
        <v>1111966.5288516276</v>
      </c>
      <c r="K111" s="45">
        <f t="shared" si="10"/>
        <v>1631966.5288516274</v>
      </c>
      <c r="L111" s="46" t="str">
        <f t="shared" si="11"/>
        <v/>
      </c>
      <c r="M111" s="47">
        <f t="shared" si="9"/>
        <v>19081.345953448192</v>
      </c>
    </row>
    <row r="112" spans="1:13" ht="12.75" customHeight="1" x14ac:dyDescent="0.35">
      <c r="A112" s="48">
        <v>9</v>
      </c>
      <c r="B112" s="40" t="s">
        <v>84</v>
      </c>
      <c r="C112" s="41">
        <f>Premissas!$C$39+0.8333333333*(Premissas!$C$40-Premissas!$C$39)</f>
        <v>0.81983333333389996</v>
      </c>
      <c r="D112" s="42">
        <f>(1+Premissas!$C$26)^(8)</f>
        <v>1.8509302102818823</v>
      </c>
      <c r="E112" s="43">
        <f>Dimensionador!$C$22*(Premissas!$C$39+0.8333333333*(Premissas!$C$40-Premissas!$C$39))*Premissas!$C$21*(1+Premissas!$C$26)^(8)</f>
        <v>20884.58529575463</v>
      </c>
      <c r="F112" s="43">
        <f>Dimensionador!$C$23*(Premissas!$C$39+0.8333333333*(Premissas!$C$40-Premissas!$C$39))*Premissas!$C$20*(1+Premissas!$C$26)^(8)</f>
        <v>1014.1747295843534</v>
      </c>
      <c r="G112" s="43">
        <f>Premissas!$C$25*(1+Premissas!$C$27)^(8)/12</f>
        <v>823.40055290195039</v>
      </c>
      <c r="H112" s="43">
        <f t="shared" si="6"/>
        <v>19870.410566170278</v>
      </c>
      <c r="I112" s="43">
        <f t="shared" si="7"/>
        <v>19047.010013268329</v>
      </c>
      <c r="J112" s="44">
        <f t="shared" si="8"/>
        <v>1131013.5388648959</v>
      </c>
      <c r="K112" s="45">
        <f t="shared" si="10"/>
        <v>1651013.5388648957</v>
      </c>
      <c r="L112" s="46" t="str">
        <f t="shared" si="11"/>
        <v/>
      </c>
      <c r="M112" s="47">
        <f t="shared" si="9"/>
        <v>19047.010013268329</v>
      </c>
    </row>
    <row r="113" spans="1:13" ht="12.75" customHeight="1" x14ac:dyDescent="0.35">
      <c r="A113" s="49">
        <v>9</v>
      </c>
      <c r="B113" s="50" t="s">
        <v>85</v>
      </c>
      <c r="C113" s="51">
        <f>Premissas!$C$39+0.9166666667*(Premissas!$C$40-Premissas!$C$39)</f>
        <v>0.81841666666609991</v>
      </c>
      <c r="D113" s="52">
        <f>(1+Premissas!$C$26)^(8)</f>
        <v>1.8509302102818823</v>
      </c>
      <c r="E113" s="53">
        <f>Dimensionador!$C$22*(Premissas!$C$39+0.9166666667*(Premissas!$C$40-Premissas!$C$39))*Premissas!$C$21*(1+Premissas!$C$26)^(8)</f>
        <v>20848.496868197035</v>
      </c>
      <c r="F113" s="53">
        <f>Dimensionador!$C$23*(Premissas!$C$39+0.9166666667*(Premissas!$C$40-Premissas!$C$39))*Premissas!$C$20*(1+Premissas!$C$26)^(8)</f>
        <v>1012.4222422478301</v>
      </c>
      <c r="G113" s="53">
        <f>Premissas!$C$25*(1+Premissas!$C$27)^(8)/12</f>
        <v>823.40055290195039</v>
      </c>
      <c r="H113" s="53">
        <f t="shared" si="6"/>
        <v>19836.074625949204</v>
      </c>
      <c r="I113" s="53">
        <f t="shared" si="7"/>
        <v>19012.674073047256</v>
      </c>
      <c r="J113" s="54">
        <f t="shared" si="8"/>
        <v>1150026.2129379432</v>
      </c>
      <c r="K113" s="55">
        <f t="shared" si="10"/>
        <v>1670026.2129379429</v>
      </c>
      <c r="L113" s="56" t="str">
        <f t="shared" si="11"/>
        <v/>
      </c>
      <c r="M113" s="47">
        <f t="shared" si="9"/>
        <v>19012.674073047256</v>
      </c>
    </row>
    <row r="114" spans="1:13" ht="12.75" customHeight="1" x14ac:dyDescent="0.35">
      <c r="A114" s="57">
        <v>10</v>
      </c>
      <c r="B114" s="58" t="s">
        <v>73</v>
      </c>
      <c r="C114" s="59">
        <f>Premissas!$C$40+0*(Premissas!$C$41-Premissas!$C$40)</f>
        <v>0.81699999999999995</v>
      </c>
      <c r="D114" s="60">
        <f>(1+Premissas!$C$26)^(9)</f>
        <v>1.9990046271044331</v>
      </c>
      <c r="E114" s="61">
        <f>Dimensionador!$C$22*(Premissas!$C$40+0*(Premissas!$C$41-Premissas!$C$40))*Premissas!$C$21*(1+Premissas!$C$26)^(9)</f>
        <v>22477.401115937366</v>
      </c>
      <c r="F114" s="61">
        <f>Dimensionador!$C$23*(Premissas!$C$40+0*(Premissas!$C$41-Premissas!$C$40))*Premissas!$C$20*(1+Premissas!$C$26)^(9)</f>
        <v>1091.523335306483</v>
      </c>
      <c r="G114" s="61">
        <f>Premissas!$C$25*(1+Premissas!$C$27)^(9)/12</f>
        <v>848.10256948900894</v>
      </c>
      <c r="H114" s="61">
        <f t="shared" si="6"/>
        <v>21385.877780630883</v>
      </c>
      <c r="I114" s="61">
        <f t="shared" si="7"/>
        <v>20537.775211141874</v>
      </c>
      <c r="J114" s="62">
        <f t="shared" si="8"/>
        <v>1170563.9881490851</v>
      </c>
      <c r="K114" s="63">
        <f t="shared" si="10"/>
        <v>1690563.9881490848</v>
      </c>
      <c r="L114" s="64" t="str">
        <f t="shared" si="11"/>
        <v/>
      </c>
      <c r="M114" s="47">
        <f t="shared" si="9"/>
        <v>20537.775211141874</v>
      </c>
    </row>
    <row r="115" spans="1:13" ht="12.75" customHeight="1" x14ac:dyDescent="0.35">
      <c r="A115" s="65">
        <v>10</v>
      </c>
      <c r="B115" s="58" t="s">
        <v>75</v>
      </c>
      <c r="C115" s="59">
        <f>Premissas!$C$40+0.0833333333*(Premissas!$C$41-Premissas!$C$40)</f>
        <v>0.81550000000059997</v>
      </c>
      <c r="D115" s="60">
        <f>(1+Premissas!$C$26)^(9)</f>
        <v>1.9990046271044331</v>
      </c>
      <c r="E115" s="61">
        <f>Dimensionador!$C$22*(Premissas!$C$40+0.0833333333*(Premissas!$C$41-Premissas!$C$40))*Premissas!$C$21*(1+Premissas!$C$26)^(9)</f>
        <v>22436.13293765044</v>
      </c>
      <c r="F115" s="61">
        <f>Dimensionador!$C$23*(Premissas!$C$40+0.0833333333*(Premissas!$C$41-Premissas!$C$40))*Premissas!$C$20*(1+Premissas!$C$26)^(9)</f>
        <v>1089.5193144958284</v>
      </c>
      <c r="G115" s="61">
        <f>Premissas!$C$25*(1+Premissas!$C$27)^(9)/12</f>
        <v>848.10256948900894</v>
      </c>
      <c r="H115" s="61">
        <f t="shared" si="6"/>
        <v>21346.613623154612</v>
      </c>
      <c r="I115" s="61">
        <f t="shared" si="7"/>
        <v>20498.511053665603</v>
      </c>
      <c r="J115" s="62">
        <f t="shared" si="8"/>
        <v>1191062.4992027506</v>
      </c>
      <c r="K115" s="63">
        <f t="shared" si="10"/>
        <v>1711062.4992027504</v>
      </c>
      <c r="L115" s="64" t="str">
        <f t="shared" si="11"/>
        <v/>
      </c>
      <c r="M115" s="47">
        <f t="shared" si="9"/>
        <v>20498.511053665603</v>
      </c>
    </row>
    <row r="116" spans="1:13" ht="12.75" customHeight="1" x14ac:dyDescent="0.35">
      <c r="A116" s="65">
        <v>10</v>
      </c>
      <c r="B116" s="58" t="s">
        <v>76</v>
      </c>
      <c r="C116" s="59">
        <f>Premissas!$C$40+0.1666666667*(Premissas!$C$41-Premissas!$C$40)</f>
        <v>0.81399999999939998</v>
      </c>
      <c r="D116" s="60">
        <f>(1+Premissas!$C$26)^(9)</f>
        <v>1.9990046271044331</v>
      </c>
      <c r="E116" s="61">
        <f>Dimensionador!$C$22*(Premissas!$C$40+0.1666666667*(Premissas!$C$41-Premissas!$C$40))*Premissas!$C$21*(1+Premissas!$C$26)^(9)</f>
        <v>22394.864759313994</v>
      </c>
      <c r="F116" s="61">
        <f>Dimensionador!$C$23*(Premissas!$C$40+0.1666666667*(Premissas!$C$41-Premissas!$C$40))*Premissas!$C$20*(1+Premissas!$C$26)^(9)</f>
        <v>1087.515293682769</v>
      </c>
      <c r="G116" s="61">
        <f>Premissas!$C$25*(1+Premissas!$C$27)^(9)/12</f>
        <v>848.10256948900894</v>
      </c>
      <c r="H116" s="61">
        <f t="shared" si="6"/>
        <v>21307.349465631225</v>
      </c>
      <c r="I116" s="61">
        <f t="shared" si="7"/>
        <v>20459.246896142216</v>
      </c>
      <c r="J116" s="62">
        <f t="shared" si="8"/>
        <v>1211521.7460988928</v>
      </c>
      <c r="K116" s="63">
        <f t="shared" si="10"/>
        <v>1731521.7460988925</v>
      </c>
      <c r="L116" s="64" t="str">
        <f t="shared" si="11"/>
        <v/>
      </c>
      <c r="M116" s="47">
        <f t="shared" si="9"/>
        <v>20459.246896142216</v>
      </c>
    </row>
    <row r="117" spans="1:13" ht="12.75" customHeight="1" x14ac:dyDescent="0.35">
      <c r="A117" s="65">
        <v>10</v>
      </c>
      <c r="B117" s="58" t="s">
        <v>77</v>
      </c>
      <c r="C117" s="59">
        <f>Premissas!$C$40+0.25*(Premissas!$C$41-Premissas!$C$40)</f>
        <v>0.8125</v>
      </c>
      <c r="D117" s="60">
        <f>(1+Premissas!$C$26)^(9)</f>
        <v>1.9990046271044331</v>
      </c>
      <c r="E117" s="61">
        <f>Dimensionador!$C$22*(Premissas!$C$40+0.25*(Premissas!$C$41-Premissas!$C$40))*Premissas!$C$21*(1+Premissas!$C$26)^(9)</f>
        <v>22353.596581027068</v>
      </c>
      <c r="F117" s="61">
        <f>Dimensionador!$C$23*(Premissas!$C$40+0.25*(Premissas!$C$41-Premissas!$C$40))*Premissas!$C$20*(1+Premissas!$C$26)^(9)</f>
        <v>1085.5112728721144</v>
      </c>
      <c r="G117" s="61">
        <f>Premissas!$C$25*(1+Premissas!$C$27)^(9)/12</f>
        <v>848.10256948900894</v>
      </c>
      <c r="H117" s="61">
        <f t="shared" si="6"/>
        <v>21268.085308154954</v>
      </c>
      <c r="I117" s="61">
        <f t="shared" si="7"/>
        <v>20419.982738665945</v>
      </c>
      <c r="J117" s="62">
        <f t="shared" si="8"/>
        <v>1231941.7288375588</v>
      </c>
      <c r="K117" s="63">
        <f t="shared" si="10"/>
        <v>1751941.7288375585</v>
      </c>
      <c r="L117" s="64" t="str">
        <f t="shared" si="11"/>
        <v/>
      </c>
      <c r="M117" s="47">
        <f t="shared" si="9"/>
        <v>20419.982738665945</v>
      </c>
    </row>
    <row r="118" spans="1:13" ht="12.75" customHeight="1" x14ac:dyDescent="0.35">
      <c r="A118" s="65">
        <v>10</v>
      </c>
      <c r="B118" s="58" t="s">
        <v>78</v>
      </c>
      <c r="C118" s="59">
        <f>Premissas!$C$40+0.3333333333*(Premissas!$C$41-Premissas!$C$40)</f>
        <v>0.81100000000060002</v>
      </c>
      <c r="D118" s="60">
        <f>(1+Premissas!$C$26)^(9)</f>
        <v>1.9990046271044331</v>
      </c>
      <c r="E118" s="61">
        <f>Dimensionador!$C$22*(Premissas!$C$40+0.3333333333*(Premissas!$C$41-Premissas!$C$40))*Premissas!$C$21*(1+Premissas!$C$26)^(9)</f>
        <v>22312.328402740139</v>
      </c>
      <c r="F118" s="61">
        <f>Dimensionador!$C$23*(Premissas!$C$40+0.3333333333*(Premissas!$C$41-Premissas!$C$40))*Premissas!$C$20*(1+Premissas!$C$26)^(9)</f>
        <v>1083.5072520614597</v>
      </c>
      <c r="G118" s="61">
        <f>Premissas!$C$25*(1+Premissas!$C$27)^(9)/12</f>
        <v>848.10256948900894</v>
      </c>
      <c r="H118" s="61">
        <f t="shared" si="6"/>
        <v>21228.821150678679</v>
      </c>
      <c r="I118" s="61">
        <f t="shared" si="7"/>
        <v>20380.718581189671</v>
      </c>
      <c r="J118" s="62">
        <f t="shared" si="8"/>
        <v>1252322.4474187484</v>
      </c>
      <c r="K118" s="63">
        <f t="shared" si="10"/>
        <v>1772322.4474187482</v>
      </c>
      <c r="L118" s="64" t="str">
        <f t="shared" si="11"/>
        <v/>
      </c>
      <c r="M118" s="47">
        <f t="shared" si="9"/>
        <v>20380.718581189671</v>
      </c>
    </row>
    <row r="119" spans="1:13" ht="12.75" customHeight="1" x14ac:dyDescent="0.35">
      <c r="A119" s="65">
        <v>10</v>
      </c>
      <c r="B119" s="58" t="s">
        <v>79</v>
      </c>
      <c r="C119" s="59">
        <f>Premissas!$C$40+0.4166666667*(Premissas!$C$41-Premissas!$C$40)</f>
        <v>0.80949999999940003</v>
      </c>
      <c r="D119" s="60">
        <f>(1+Premissas!$C$26)^(9)</f>
        <v>1.9990046271044331</v>
      </c>
      <c r="E119" s="61">
        <f>Dimensionador!$C$22*(Premissas!$C$40+0.4166666667*(Premissas!$C$41-Premissas!$C$40))*Premissas!$C$21*(1+Premissas!$C$26)^(9)</f>
        <v>22271.060224403693</v>
      </c>
      <c r="F119" s="61">
        <f>Dimensionador!$C$23*(Premissas!$C$40+0.4166666667*(Premissas!$C$41-Premissas!$C$40))*Premissas!$C$20*(1+Premissas!$C$26)^(9)</f>
        <v>1081.5032312484004</v>
      </c>
      <c r="G119" s="61">
        <f>Premissas!$C$25*(1+Premissas!$C$27)^(9)/12</f>
        <v>848.10256948900894</v>
      </c>
      <c r="H119" s="61">
        <f t="shared" si="6"/>
        <v>21189.556993155293</v>
      </c>
      <c r="I119" s="61">
        <f t="shared" si="7"/>
        <v>20341.454423666284</v>
      </c>
      <c r="J119" s="62">
        <f t="shared" si="8"/>
        <v>1272663.9018424146</v>
      </c>
      <c r="K119" s="63">
        <f t="shared" si="10"/>
        <v>1792663.9018424144</v>
      </c>
      <c r="L119" s="64" t="str">
        <f t="shared" si="11"/>
        <v/>
      </c>
      <c r="M119" s="47">
        <f t="shared" si="9"/>
        <v>20341.454423666284</v>
      </c>
    </row>
    <row r="120" spans="1:13" ht="12.75" customHeight="1" x14ac:dyDescent="0.35">
      <c r="A120" s="65">
        <v>10</v>
      </c>
      <c r="B120" s="58" t="s">
        <v>80</v>
      </c>
      <c r="C120" s="59">
        <f>Premissas!$C$40+0.5*(Premissas!$C$41-Premissas!$C$40)</f>
        <v>0.80800000000000005</v>
      </c>
      <c r="D120" s="60">
        <f>(1+Premissas!$C$26)^(9)</f>
        <v>1.9990046271044331</v>
      </c>
      <c r="E120" s="61">
        <f>Dimensionador!$C$22*(Premissas!$C$40+0.5*(Premissas!$C$41-Premissas!$C$40))*Premissas!$C$21*(1+Premissas!$C$26)^(9)</f>
        <v>22229.792046116763</v>
      </c>
      <c r="F120" s="61">
        <f>Dimensionador!$C$23*(Premissas!$C$40+0.5*(Premissas!$C$41-Premissas!$C$40))*Premissas!$C$20*(1+Premissas!$C$26)^(9)</f>
        <v>1079.4992104377459</v>
      </c>
      <c r="G120" s="61">
        <f>Premissas!$C$25*(1+Premissas!$C$27)^(9)/12</f>
        <v>848.10256948900894</v>
      </c>
      <c r="H120" s="61">
        <f t="shared" si="6"/>
        <v>21150.292835679018</v>
      </c>
      <c r="I120" s="61">
        <f t="shared" si="7"/>
        <v>20302.190266190009</v>
      </c>
      <c r="J120" s="62">
        <f t="shared" si="8"/>
        <v>1292966.0921086047</v>
      </c>
      <c r="K120" s="63">
        <f t="shared" si="10"/>
        <v>1812966.0921086045</v>
      </c>
      <c r="L120" s="64" t="str">
        <f t="shared" si="11"/>
        <v/>
      </c>
      <c r="M120" s="47">
        <f t="shared" si="9"/>
        <v>20302.190266190009</v>
      </c>
    </row>
    <row r="121" spans="1:13" ht="12.75" customHeight="1" x14ac:dyDescent="0.35">
      <c r="A121" s="65">
        <v>10</v>
      </c>
      <c r="B121" s="58" t="s">
        <v>81</v>
      </c>
      <c r="C121" s="59">
        <f>Premissas!$C$40+0.5833333333*(Premissas!$C$41-Premissas!$C$40)</f>
        <v>0.80650000000059996</v>
      </c>
      <c r="D121" s="60">
        <f>(1+Premissas!$C$26)^(9)</f>
        <v>1.9990046271044331</v>
      </c>
      <c r="E121" s="61">
        <f>Dimensionador!$C$22*(Premissas!$C$40+0.5833333333*(Premissas!$C$41-Premissas!$C$40))*Premissas!$C$21*(1+Premissas!$C$26)^(9)</f>
        <v>22188.523867829834</v>
      </c>
      <c r="F121" s="61">
        <f>Dimensionador!$C$23*(Premissas!$C$40+0.5833333333*(Premissas!$C$41-Premissas!$C$40))*Premissas!$C$20*(1+Premissas!$C$26)^(9)</f>
        <v>1077.4951896270911</v>
      </c>
      <c r="G121" s="61">
        <f>Premissas!$C$25*(1+Premissas!$C$27)^(9)/12</f>
        <v>848.10256948900894</v>
      </c>
      <c r="H121" s="61">
        <f t="shared" si="6"/>
        <v>21111.028678202743</v>
      </c>
      <c r="I121" s="61">
        <f t="shared" si="7"/>
        <v>20262.926108713735</v>
      </c>
      <c r="J121" s="62">
        <f t="shared" si="8"/>
        <v>1313229.0182173185</v>
      </c>
      <c r="K121" s="63">
        <f t="shared" si="10"/>
        <v>1833229.0182173182</v>
      </c>
      <c r="L121" s="64" t="str">
        <f t="shared" si="11"/>
        <v/>
      </c>
      <c r="M121" s="47">
        <f t="shared" si="9"/>
        <v>20262.926108713735</v>
      </c>
    </row>
    <row r="122" spans="1:13" ht="12.75" customHeight="1" x14ac:dyDescent="0.35">
      <c r="A122" s="65">
        <v>10</v>
      </c>
      <c r="B122" s="58" t="s">
        <v>82</v>
      </c>
      <c r="C122" s="59">
        <f>Premissas!$C$40+0.6666666667*(Premissas!$C$41-Premissas!$C$40)</f>
        <v>0.80499999999939997</v>
      </c>
      <c r="D122" s="60">
        <f>(1+Premissas!$C$26)^(9)</f>
        <v>1.9990046271044331</v>
      </c>
      <c r="E122" s="61">
        <f>Dimensionador!$C$22*(Premissas!$C$40+0.6666666667*(Premissas!$C$41-Premissas!$C$40))*Premissas!$C$21*(1+Premissas!$C$26)^(9)</f>
        <v>22147.255689493384</v>
      </c>
      <c r="F122" s="61">
        <f>Dimensionador!$C$23*(Premissas!$C$40+0.6666666667*(Premissas!$C$41-Premissas!$C$40))*Premissas!$C$20*(1+Premissas!$C$26)^(9)</f>
        <v>1075.4911688140319</v>
      </c>
      <c r="G122" s="61">
        <f>Premissas!$C$25*(1+Premissas!$C$27)^(9)/12</f>
        <v>848.10256948900894</v>
      </c>
      <c r="H122" s="61">
        <f t="shared" si="6"/>
        <v>21071.764520679353</v>
      </c>
      <c r="I122" s="61">
        <f t="shared" si="7"/>
        <v>20223.661951190345</v>
      </c>
      <c r="J122" s="62">
        <f t="shared" si="8"/>
        <v>1333452.6801685088</v>
      </c>
      <c r="K122" s="63">
        <f t="shared" si="10"/>
        <v>1853452.6801685086</v>
      </c>
      <c r="L122" s="64" t="str">
        <f t="shared" si="11"/>
        <v/>
      </c>
      <c r="M122" s="47">
        <f t="shared" si="9"/>
        <v>20223.661951190345</v>
      </c>
    </row>
    <row r="123" spans="1:13" ht="12.75" customHeight="1" x14ac:dyDescent="0.35">
      <c r="A123" s="65">
        <v>10</v>
      </c>
      <c r="B123" s="58" t="s">
        <v>83</v>
      </c>
      <c r="C123" s="59">
        <f>Premissas!$C$40+0.75*(Premissas!$C$41-Premissas!$C$40)</f>
        <v>0.80349999999999999</v>
      </c>
      <c r="D123" s="60">
        <f>(1+Premissas!$C$26)^(9)</f>
        <v>1.9990046271044331</v>
      </c>
      <c r="E123" s="61">
        <f>Dimensionador!$C$22*(Premissas!$C$40+0.75*(Premissas!$C$41-Premissas!$C$40))*Premissas!$C$21*(1+Premissas!$C$26)^(9)</f>
        <v>22105.987511206458</v>
      </c>
      <c r="F123" s="61">
        <f>Dimensionador!$C$23*(Premissas!$C$40+0.75*(Premissas!$C$41-Premissas!$C$40))*Premissas!$C$20*(1+Premissas!$C$26)^(9)</f>
        <v>1073.4871480033769</v>
      </c>
      <c r="G123" s="61">
        <f>Premissas!$C$25*(1+Premissas!$C$27)^(9)/12</f>
        <v>848.10256948900894</v>
      </c>
      <c r="H123" s="61">
        <f t="shared" si="6"/>
        <v>21032.500363203082</v>
      </c>
      <c r="I123" s="61">
        <f t="shared" si="7"/>
        <v>20184.397793714073</v>
      </c>
      <c r="J123" s="62">
        <f t="shared" si="8"/>
        <v>1353637.077962223</v>
      </c>
      <c r="K123" s="63">
        <f t="shared" si="10"/>
        <v>1873637.0779622225</v>
      </c>
      <c r="L123" s="64" t="str">
        <f t="shared" si="11"/>
        <v/>
      </c>
      <c r="M123" s="47">
        <f t="shared" si="9"/>
        <v>20184.397793714073</v>
      </c>
    </row>
    <row r="124" spans="1:13" ht="12.75" customHeight="1" x14ac:dyDescent="0.35">
      <c r="A124" s="65">
        <v>10</v>
      </c>
      <c r="B124" s="58" t="s">
        <v>84</v>
      </c>
      <c r="C124" s="59">
        <f>Premissas!$C$40+0.8333333333*(Premissas!$C$41-Premissas!$C$40)</f>
        <v>0.80200000000060001</v>
      </c>
      <c r="D124" s="60">
        <f>(1+Premissas!$C$26)^(9)</f>
        <v>1.9990046271044331</v>
      </c>
      <c r="E124" s="61">
        <f>Dimensionador!$C$22*(Premissas!$C$40+0.8333333333*(Premissas!$C$41-Premissas!$C$40))*Premissas!$C$21*(1+Premissas!$C$26)^(9)</f>
        <v>22064.719332919532</v>
      </c>
      <c r="F124" s="61">
        <f>Dimensionador!$C$23*(Premissas!$C$40+0.8333333333*(Premissas!$C$41-Premissas!$C$40))*Premissas!$C$20*(1+Premissas!$C$26)^(9)</f>
        <v>1071.4831271927226</v>
      </c>
      <c r="G124" s="61">
        <f>Premissas!$C$25*(1+Premissas!$C$27)^(9)/12</f>
        <v>848.10256948900894</v>
      </c>
      <c r="H124" s="61">
        <f t="shared" si="6"/>
        <v>20993.236205726811</v>
      </c>
      <c r="I124" s="61">
        <f t="shared" si="7"/>
        <v>20145.133636237802</v>
      </c>
      <c r="J124" s="62">
        <f t="shared" si="8"/>
        <v>1373782.2115984608</v>
      </c>
      <c r="K124" s="63">
        <f t="shared" si="10"/>
        <v>1893782.2115984603</v>
      </c>
      <c r="L124" s="64" t="str">
        <f t="shared" si="11"/>
        <v/>
      </c>
      <c r="M124" s="47">
        <f t="shared" si="9"/>
        <v>20145.133636237802</v>
      </c>
    </row>
    <row r="125" spans="1:13" ht="12.75" customHeight="1" x14ac:dyDescent="0.35">
      <c r="A125" s="66">
        <v>10</v>
      </c>
      <c r="B125" s="67" t="s">
        <v>85</v>
      </c>
      <c r="C125" s="68">
        <f>Premissas!$C$40+0.9166666667*(Premissas!$C$41-Premissas!$C$40)</f>
        <v>0.80049999999940002</v>
      </c>
      <c r="D125" s="69">
        <f>(1+Premissas!$C$26)^(9)</f>
        <v>1.9990046271044331</v>
      </c>
      <c r="E125" s="70">
        <f>Dimensionador!$C$22*(Premissas!$C$40+0.9166666667*(Premissas!$C$41-Premissas!$C$40))*Premissas!$C$21*(1+Premissas!$C$26)^(9)</f>
        <v>22023.451154583083</v>
      </c>
      <c r="F125" s="70">
        <f>Dimensionador!$C$23*(Premissas!$C$40+0.9166666667*(Premissas!$C$41-Premissas!$C$40))*Premissas!$C$20*(1+Premissas!$C$26)^(9)</f>
        <v>1069.4791063796629</v>
      </c>
      <c r="G125" s="70">
        <f>Premissas!$C$25*(1+Premissas!$C$27)^(9)/12</f>
        <v>848.10256948900894</v>
      </c>
      <c r="H125" s="70">
        <f t="shared" si="6"/>
        <v>20953.972048203421</v>
      </c>
      <c r="I125" s="70">
        <f t="shared" si="7"/>
        <v>20105.869478714412</v>
      </c>
      <c r="J125" s="71">
        <f t="shared" si="8"/>
        <v>1393888.0810771752</v>
      </c>
      <c r="K125" s="72">
        <f t="shared" si="10"/>
        <v>1913888.0810771747</v>
      </c>
      <c r="L125" s="73" t="str">
        <f t="shared" si="11"/>
        <v/>
      </c>
      <c r="M125" s="47">
        <f t="shared" si="9"/>
        <v>20105.869478714412</v>
      </c>
    </row>
    <row r="126" spans="1:13" ht="12.75" customHeight="1" x14ac:dyDescent="0.35">
      <c r="A126" s="39">
        <v>11</v>
      </c>
      <c r="B126" s="40" t="s">
        <v>73</v>
      </c>
      <c r="C126" s="41">
        <f>Premissas!$C$41+0*(Premissas!$C$42-Premissas!$C$41)</f>
        <v>0.79900000000000004</v>
      </c>
      <c r="D126" s="42">
        <f>(1+Premissas!$C$26)^(10)</f>
        <v>2.1589249972727877</v>
      </c>
      <c r="E126" s="43">
        <f>Dimensionador!$C$22*(Premissas!$C$41+0*(Premissas!$C$42-Premissas!$C$41))*Premissas!$C$21*(1+Premissas!$C$26)^(10)</f>
        <v>23740.757614399849</v>
      </c>
      <c r="F126" s="43">
        <f>Dimensionador!$C$23*(Premissas!$C$41+0*(Premissas!$C$42-Premissas!$C$41))*Premissas!$C$20*(1+Premissas!$C$26)^(10)</f>
        <v>1152.8730924145293</v>
      </c>
      <c r="G126" s="43">
        <f>Premissas!$C$25*(1+Premissas!$C$27)^(10)/12</f>
        <v>873.54564657367916</v>
      </c>
      <c r="H126" s="43">
        <f t="shared" si="6"/>
        <v>22587.884521985317</v>
      </c>
      <c r="I126" s="43">
        <f t="shared" si="7"/>
        <v>21714.338875411639</v>
      </c>
      <c r="J126" s="44">
        <f t="shared" si="8"/>
        <v>1415602.4199525868</v>
      </c>
      <c r="K126" s="45">
        <f t="shared" si="10"/>
        <v>1935602.4199525863</v>
      </c>
      <c r="L126" s="46" t="str">
        <f t="shared" si="11"/>
        <v/>
      </c>
      <c r="M126" s="47">
        <f t="shared" si="9"/>
        <v>21714.338875411639</v>
      </c>
    </row>
    <row r="127" spans="1:13" ht="12.75" customHeight="1" x14ac:dyDescent="0.35">
      <c r="A127" s="48">
        <v>11</v>
      </c>
      <c r="B127" s="40" t="s">
        <v>75</v>
      </c>
      <c r="C127" s="41">
        <f>Premissas!$C$41+0.0833333333*(Premissas!$C$42-Premissas!$C$41)</f>
        <v>0.7976666666672001</v>
      </c>
      <c r="D127" s="42">
        <f>(1+Premissas!$C$26)^(10)</f>
        <v>2.1589249972727877</v>
      </c>
      <c r="E127" s="43">
        <f>Dimensionador!$C$22*(Premissas!$C$41+0.0833333333*(Premissas!$C$42-Premissas!$C$41))*Premissas!$C$21*(1+Premissas!$C$26)^(10)</f>
        <v>23701.140163244399</v>
      </c>
      <c r="F127" s="43">
        <f>Dimensionador!$C$23*(Premissas!$C$41+0.0833333333*(Premissas!$C$42-Premissas!$C$41))*Premissas!$C$20*(1+Premissas!$C$26)^(10)</f>
        <v>1150.9492324363011</v>
      </c>
      <c r="G127" s="43">
        <f>Premissas!$C$25*(1+Premissas!$C$27)^(10)/12</f>
        <v>873.54564657367916</v>
      </c>
      <c r="H127" s="43">
        <f t="shared" si="6"/>
        <v>22550.190930808098</v>
      </c>
      <c r="I127" s="43">
        <f t="shared" si="7"/>
        <v>21676.645284234419</v>
      </c>
      <c r="J127" s="44">
        <f t="shared" si="8"/>
        <v>1437279.0652368211</v>
      </c>
      <c r="K127" s="45">
        <f t="shared" si="10"/>
        <v>1957279.0652368206</v>
      </c>
      <c r="L127" s="46" t="str">
        <f t="shared" si="11"/>
        <v/>
      </c>
      <c r="M127" s="47">
        <f t="shared" si="9"/>
        <v>21676.645284234419</v>
      </c>
    </row>
    <row r="128" spans="1:13" ht="12.75" customHeight="1" x14ac:dyDescent="0.35">
      <c r="A128" s="48">
        <v>11</v>
      </c>
      <c r="B128" s="40" t="s">
        <v>76</v>
      </c>
      <c r="C128" s="41">
        <f>Premissas!$C$41+0.1666666667*(Premissas!$C$42-Premissas!$C$41)</f>
        <v>0.79633333333279999</v>
      </c>
      <c r="D128" s="42">
        <f>(1+Premissas!$C$26)^(10)</f>
        <v>2.1589249972727877</v>
      </c>
      <c r="E128" s="43">
        <f>Dimensionador!$C$22*(Premissas!$C$41+0.1666666667*(Premissas!$C$42-Premissas!$C$41))*Premissas!$C$21*(1+Premissas!$C$26)^(10)</f>
        <v>23661.522712041406</v>
      </c>
      <c r="F128" s="43">
        <f>Dimensionador!$C$23*(Premissas!$C$41+0.1666666667*(Premissas!$C$42-Premissas!$C$41))*Premissas!$C$20*(1+Premissas!$C$26)^(10)</f>
        <v>1149.0253724557638</v>
      </c>
      <c r="G128" s="43">
        <f>Premissas!$C$25*(1+Premissas!$C$27)^(10)/12</f>
        <v>873.54564657367916</v>
      </c>
      <c r="H128" s="43">
        <f t="shared" si="6"/>
        <v>22512.497339585643</v>
      </c>
      <c r="I128" s="43">
        <f t="shared" si="7"/>
        <v>21638.951693011964</v>
      </c>
      <c r="J128" s="44">
        <f t="shared" si="8"/>
        <v>1458918.016929833</v>
      </c>
      <c r="K128" s="45">
        <f t="shared" si="10"/>
        <v>1978918.0169298325</v>
      </c>
      <c r="L128" s="46" t="str">
        <f t="shared" si="11"/>
        <v/>
      </c>
      <c r="M128" s="47">
        <f t="shared" si="9"/>
        <v>21638.951693011964</v>
      </c>
    </row>
    <row r="129" spans="1:13" ht="12.75" customHeight="1" x14ac:dyDescent="0.35">
      <c r="A129" s="48">
        <v>11</v>
      </c>
      <c r="B129" s="40" t="s">
        <v>77</v>
      </c>
      <c r="C129" s="41">
        <f>Premissas!$C$41+0.25*(Premissas!$C$42-Premissas!$C$41)</f>
        <v>0.79500000000000004</v>
      </c>
      <c r="D129" s="42">
        <f>(1+Premissas!$C$26)^(10)</f>
        <v>2.1589249972727877</v>
      </c>
      <c r="E129" s="43">
        <f>Dimensionador!$C$22*(Premissas!$C$41+0.25*(Premissas!$C$42-Premissas!$C$41))*Premissas!$C$21*(1+Premissas!$C$26)^(10)</f>
        <v>23621.90526088596</v>
      </c>
      <c r="F129" s="43">
        <f>Dimensionador!$C$23*(Premissas!$C$41+0.25*(Premissas!$C$42-Premissas!$C$41))*Premissas!$C$20*(1+Premissas!$C$26)^(10)</f>
        <v>1147.1015124775356</v>
      </c>
      <c r="G129" s="43">
        <f>Premissas!$C$25*(1+Premissas!$C$27)^(10)/12</f>
        <v>873.54564657367916</v>
      </c>
      <c r="H129" s="43">
        <f t="shared" si="6"/>
        <v>22474.803748408423</v>
      </c>
      <c r="I129" s="43">
        <f t="shared" si="7"/>
        <v>21601.258101834745</v>
      </c>
      <c r="J129" s="44">
        <f t="shared" si="8"/>
        <v>1480519.2750316677</v>
      </c>
      <c r="K129" s="45">
        <f t="shared" si="10"/>
        <v>2000519.2750316672</v>
      </c>
      <c r="L129" s="46" t="str">
        <f t="shared" si="11"/>
        <v/>
      </c>
      <c r="M129" s="47">
        <f t="shared" si="9"/>
        <v>21601.258101834745</v>
      </c>
    </row>
    <row r="130" spans="1:13" ht="12.75" customHeight="1" x14ac:dyDescent="0.35">
      <c r="A130" s="48">
        <v>11</v>
      </c>
      <c r="B130" s="40" t="s">
        <v>78</v>
      </c>
      <c r="C130" s="41">
        <f>Premissas!$C$41+0.3333333333*(Premissas!$C$42-Premissas!$C$41)</f>
        <v>0.79366666666720009</v>
      </c>
      <c r="D130" s="42">
        <f>(1+Premissas!$C$26)^(10)</f>
        <v>2.1589249972727877</v>
      </c>
      <c r="E130" s="43">
        <f>Dimensionador!$C$22*(Premissas!$C$41+0.3333333333*(Premissas!$C$42-Premissas!$C$41))*Premissas!$C$21*(1+Premissas!$C$26)^(10)</f>
        <v>23582.287809730507</v>
      </c>
      <c r="F130" s="43">
        <f>Dimensionador!$C$23*(Premissas!$C$41+0.3333333333*(Premissas!$C$42-Premissas!$C$41))*Premissas!$C$20*(1+Premissas!$C$26)^(10)</f>
        <v>1145.177652499307</v>
      </c>
      <c r="G130" s="43">
        <f>Premissas!$C$25*(1+Premissas!$C$27)^(10)/12</f>
        <v>873.54564657367916</v>
      </c>
      <c r="H130" s="43">
        <f t="shared" si="6"/>
        <v>22437.1101572312</v>
      </c>
      <c r="I130" s="43">
        <f t="shared" si="7"/>
        <v>21563.564510657521</v>
      </c>
      <c r="J130" s="44">
        <f t="shared" si="8"/>
        <v>1502082.8395423251</v>
      </c>
      <c r="K130" s="45">
        <f t="shared" si="10"/>
        <v>2022082.8395423247</v>
      </c>
      <c r="L130" s="46" t="str">
        <f t="shared" si="11"/>
        <v/>
      </c>
      <c r="M130" s="47">
        <f t="shared" si="9"/>
        <v>21563.564510657521</v>
      </c>
    </row>
    <row r="131" spans="1:13" ht="12.75" customHeight="1" x14ac:dyDescent="0.35">
      <c r="A131" s="48">
        <v>11</v>
      </c>
      <c r="B131" s="40" t="s">
        <v>79</v>
      </c>
      <c r="C131" s="41">
        <f>Premissas!$C$41+0.4166666667*(Premissas!$C$42-Premissas!$C$41)</f>
        <v>0.79233333333279998</v>
      </c>
      <c r="D131" s="42">
        <f>(1+Premissas!$C$26)^(10)</f>
        <v>2.1589249972727877</v>
      </c>
      <c r="E131" s="43">
        <f>Dimensionador!$C$22*(Premissas!$C$41+0.4166666667*(Premissas!$C$42-Premissas!$C$41))*Premissas!$C$21*(1+Premissas!$C$26)^(10)</f>
        <v>23542.670358527517</v>
      </c>
      <c r="F131" s="43">
        <f>Dimensionador!$C$23*(Premissas!$C$41+0.4166666667*(Premissas!$C$42-Premissas!$C$41))*Premissas!$C$20*(1+Premissas!$C$26)^(10)</f>
        <v>1143.2537925187696</v>
      </c>
      <c r="G131" s="43">
        <f>Premissas!$C$25*(1+Premissas!$C$27)^(10)/12</f>
        <v>873.54564657367916</v>
      </c>
      <c r="H131" s="43">
        <f t="shared" si="6"/>
        <v>22399.416566008749</v>
      </c>
      <c r="I131" s="43">
        <f t="shared" si="7"/>
        <v>21525.87091943507</v>
      </c>
      <c r="J131" s="44">
        <f t="shared" si="8"/>
        <v>1523608.7104617602</v>
      </c>
      <c r="K131" s="45">
        <f t="shared" si="10"/>
        <v>2043608.7104617597</v>
      </c>
      <c r="L131" s="46" t="str">
        <f t="shared" si="11"/>
        <v/>
      </c>
      <c r="M131" s="47">
        <f t="shared" si="9"/>
        <v>21525.87091943507</v>
      </c>
    </row>
    <row r="132" spans="1:13" ht="12.75" customHeight="1" x14ac:dyDescent="0.35">
      <c r="A132" s="48">
        <v>11</v>
      </c>
      <c r="B132" s="40" t="s">
        <v>80</v>
      </c>
      <c r="C132" s="41">
        <f>Premissas!$C$41+0.5*(Premissas!$C$42-Premissas!$C$41)</f>
        <v>0.79100000000000004</v>
      </c>
      <c r="D132" s="42">
        <f>(1+Premissas!$C$26)^(10)</f>
        <v>2.1589249972727877</v>
      </c>
      <c r="E132" s="43">
        <f>Dimensionador!$C$22*(Premissas!$C$41+0.5*(Premissas!$C$42-Premissas!$C$41))*Premissas!$C$21*(1+Premissas!$C$26)^(10)</f>
        <v>23503.052907372065</v>
      </c>
      <c r="F132" s="43">
        <f>Dimensionador!$C$23*(Premissas!$C$41+0.5*(Premissas!$C$42-Premissas!$C$41))*Premissas!$C$20*(1+Premissas!$C$26)^(10)</f>
        <v>1141.3299325405414</v>
      </c>
      <c r="G132" s="43">
        <f>Premissas!$C$25*(1+Premissas!$C$27)^(10)/12</f>
        <v>873.54564657367916</v>
      </c>
      <c r="H132" s="43">
        <f t="shared" si="6"/>
        <v>22361.722974831522</v>
      </c>
      <c r="I132" s="43">
        <f t="shared" si="7"/>
        <v>21488.177328257843</v>
      </c>
      <c r="J132" s="44">
        <f t="shared" si="8"/>
        <v>1545096.887790018</v>
      </c>
      <c r="K132" s="45">
        <f t="shared" si="10"/>
        <v>2065096.8877900175</v>
      </c>
      <c r="L132" s="46" t="str">
        <f t="shared" si="11"/>
        <v/>
      </c>
      <c r="M132" s="47">
        <f t="shared" si="9"/>
        <v>21488.177328257843</v>
      </c>
    </row>
    <row r="133" spans="1:13" ht="12.75" customHeight="1" x14ac:dyDescent="0.35">
      <c r="A133" s="48">
        <v>11</v>
      </c>
      <c r="B133" s="40" t="s">
        <v>81</v>
      </c>
      <c r="C133" s="41">
        <f>Premissas!$C$41+0.5833333333*(Premissas!$C$42-Premissas!$C$41)</f>
        <v>0.78966666666720009</v>
      </c>
      <c r="D133" s="42">
        <f>(1+Premissas!$C$26)^(10)</f>
        <v>2.1589249972727877</v>
      </c>
      <c r="E133" s="43">
        <f>Dimensionador!$C$22*(Premissas!$C$41+0.5833333333*(Premissas!$C$42-Premissas!$C$41))*Premissas!$C$21*(1+Premissas!$C$26)^(10)</f>
        <v>23463.435456216619</v>
      </c>
      <c r="F133" s="43">
        <f>Dimensionador!$C$23*(Premissas!$C$41+0.5833333333*(Premissas!$C$42-Premissas!$C$41))*Premissas!$C$20*(1+Premissas!$C$26)^(10)</f>
        <v>1139.4060725623131</v>
      </c>
      <c r="G133" s="43">
        <f>Premissas!$C$25*(1+Premissas!$C$27)^(10)/12</f>
        <v>873.54564657367916</v>
      </c>
      <c r="H133" s="43">
        <f t="shared" si="6"/>
        <v>22324.029383654306</v>
      </c>
      <c r="I133" s="43">
        <f t="shared" si="7"/>
        <v>21450.483737080627</v>
      </c>
      <c r="J133" s="44">
        <f t="shared" si="8"/>
        <v>1566547.3715270986</v>
      </c>
      <c r="K133" s="45">
        <f t="shared" si="10"/>
        <v>2086547.3715270981</v>
      </c>
      <c r="L133" s="46" t="str">
        <f t="shared" si="11"/>
        <v/>
      </c>
      <c r="M133" s="47">
        <f t="shared" si="9"/>
        <v>21450.483737080627</v>
      </c>
    </row>
    <row r="134" spans="1:13" ht="12.75" customHeight="1" x14ac:dyDescent="0.35">
      <c r="A134" s="48">
        <v>11</v>
      </c>
      <c r="B134" s="40" t="s">
        <v>82</v>
      </c>
      <c r="C134" s="41">
        <f>Premissas!$C$41+0.6666666667*(Premissas!$C$42-Premissas!$C$41)</f>
        <v>0.78833333333279998</v>
      </c>
      <c r="D134" s="42">
        <f>(1+Premissas!$C$26)^(10)</f>
        <v>2.1589249972727877</v>
      </c>
      <c r="E134" s="43">
        <f>Dimensionador!$C$22*(Premissas!$C$41+0.6666666667*(Premissas!$C$42-Premissas!$C$41))*Premissas!$C$21*(1+Premissas!$C$26)^(10)</f>
        <v>23423.818005013622</v>
      </c>
      <c r="F134" s="43">
        <f>Dimensionador!$C$23*(Premissas!$C$41+0.6666666667*(Premissas!$C$42-Premissas!$C$41))*Premissas!$C$20*(1+Premissas!$C$26)^(10)</f>
        <v>1137.4822125817759</v>
      </c>
      <c r="G134" s="43">
        <f>Premissas!$C$25*(1+Premissas!$C$27)^(10)/12</f>
        <v>873.54564657367916</v>
      </c>
      <c r="H134" s="43">
        <f t="shared" ref="H134:H197" si="12">E134-F134</f>
        <v>22286.335792431844</v>
      </c>
      <c r="I134" s="43">
        <f t="shared" ref="I134:I197" si="13">H134-G134</f>
        <v>21412.790145858165</v>
      </c>
      <c r="J134" s="44">
        <f t="shared" ref="J134:J197" si="14">J133+I134</f>
        <v>1587960.1616729568</v>
      </c>
      <c r="K134" s="45">
        <f t="shared" si="10"/>
        <v>2107960.1616729563</v>
      </c>
      <c r="L134" s="46" t="str">
        <f t="shared" si="11"/>
        <v/>
      </c>
      <c r="M134" s="47">
        <f t="shared" ref="M134:M197" si="15">I134</f>
        <v>21412.790145858165</v>
      </c>
    </row>
    <row r="135" spans="1:13" ht="12.75" customHeight="1" x14ac:dyDescent="0.35">
      <c r="A135" s="48">
        <v>11</v>
      </c>
      <c r="B135" s="40" t="s">
        <v>83</v>
      </c>
      <c r="C135" s="41">
        <f>Premissas!$C$41+0.75*(Premissas!$C$42-Premissas!$C$41)</f>
        <v>0.78700000000000003</v>
      </c>
      <c r="D135" s="42">
        <f>(1+Premissas!$C$26)^(10)</f>
        <v>2.1589249972727877</v>
      </c>
      <c r="E135" s="43">
        <f>Dimensionador!$C$22*(Premissas!$C$41+0.75*(Premissas!$C$42-Premissas!$C$41))*Premissas!$C$21*(1+Premissas!$C$26)^(10)</f>
        <v>23384.200553858176</v>
      </c>
      <c r="F135" s="43">
        <f>Dimensionador!$C$23*(Premissas!$C$41+0.75*(Premissas!$C$42-Premissas!$C$41))*Premissas!$C$20*(1+Premissas!$C$26)^(10)</f>
        <v>1135.5583526035475</v>
      </c>
      <c r="G135" s="43">
        <f>Premissas!$C$25*(1+Premissas!$C$27)^(10)/12</f>
        <v>873.54564657367916</v>
      </c>
      <c r="H135" s="43">
        <f t="shared" si="12"/>
        <v>22248.642201254628</v>
      </c>
      <c r="I135" s="43">
        <f t="shared" si="13"/>
        <v>21375.096554680949</v>
      </c>
      <c r="J135" s="44">
        <f t="shared" si="14"/>
        <v>1609335.2582276377</v>
      </c>
      <c r="K135" s="45">
        <f t="shared" ref="K135:K198" si="16">K134+I135</f>
        <v>2129335.258227637</v>
      </c>
      <c r="L135" s="46" t="str">
        <f t="shared" ref="L135:L198" si="17">IF(AND(J135&gt;=0,J134&lt;0),"✅ PAYBACK","")</f>
        <v/>
      </c>
      <c r="M135" s="47">
        <f t="shared" si="15"/>
        <v>21375.096554680949</v>
      </c>
    </row>
    <row r="136" spans="1:13" ht="12.75" customHeight="1" x14ac:dyDescent="0.35">
      <c r="A136" s="48">
        <v>11</v>
      </c>
      <c r="B136" s="40" t="s">
        <v>84</v>
      </c>
      <c r="C136" s="41">
        <f>Premissas!$C$41+0.8333333333*(Premissas!$C$42-Premissas!$C$41)</f>
        <v>0.78566666666720009</v>
      </c>
      <c r="D136" s="42">
        <f>(1+Premissas!$C$26)^(10)</f>
        <v>2.1589249972727877</v>
      </c>
      <c r="E136" s="43">
        <f>Dimensionador!$C$22*(Premissas!$C$41+0.8333333333*(Premissas!$C$42-Premissas!$C$41))*Premissas!$C$21*(1+Premissas!$C$26)^(10)</f>
        <v>23344.583102702731</v>
      </c>
      <c r="F136" s="43">
        <f>Dimensionador!$C$23*(Premissas!$C$41+0.8333333333*(Premissas!$C$42-Premissas!$C$41))*Premissas!$C$20*(1+Premissas!$C$26)^(10)</f>
        <v>1133.6344926253191</v>
      </c>
      <c r="G136" s="43">
        <f>Premissas!$C$25*(1+Premissas!$C$27)^(10)/12</f>
        <v>873.54564657367916</v>
      </c>
      <c r="H136" s="43">
        <f t="shared" si="12"/>
        <v>22210.948610077412</v>
      </c>
      <c r="I136" s="43">
        <f t="shared" si="13"/>
        <v>21337.402963503733</v>
      </c>
      <c r="J136" s="44">
        <f t="shared" si="14"/>
        <v>1630672.6611911415</v>
      </c>
      <c r="K136" s="45">
        <f t="shared" si="16"/>
        <v>2150672.6611911408</v>
      </c>
      <c r="L136" s="46" t="str">
        <f t="shared" si="17"/>
        <v/>
      </c>
      <c r="M136" s="47">
        <f t="shared" si="15"/>
        <v>21337.402963503733</v>
      </c>
    </row>
    <row r="137" spans="1:13" ht="12.75" customHeight="1" x14ac:dyDescent="0.35">
      <c r="A137" s="49">
        <v>11</v>
      </c>
      <c r="B137" s="50" t="s">
        <v>85</v>
      </c>
      <c r="C137" s="51">
        <f>Premissas!$C$41+0.9166666667*(Premissas!$C$42-Premissas!$C$41)</f>
        <v>0.78433333333279998</v>
      </c>
      <c r="D137" s="52">
        <f>(1+Premissas!$C$26)^(10)</f>
        <v>2.1589249972727877</v>
      </c>
      <c r="E137" s="53">
        <f>Dimensionador!$C$22*(Premissas!$C$41+0.9166666667*(Premissas!$C$42-Premissas!$C$41))*Premissas!$C$21*(1+Premissas!$C$26)^(10)</f>
        <v>23304.96565149973</v>
      </c>
      <c r="F137" s="53">
        <f>Dimensionador!$C$23*(Premissas!$C$41+0.9166666667*(Premissas!$C$42-Premissas!$C$41))*Premissas!$C$20*(1+Premissas!$C$26)^(10)</f>
        <v>1131.710632644782</v>
      </c>
      <c r="G137" s="53">
        <f>Premissas!$C$25*(1+Premissas!$C$27)^(10)/12</f>
        <v>873.54564657367916</v>
      </c>
      <c r="H137" s="53">
        <f t="shared" si="12"/>
        <v>22173.255018854947</v>
      </c>
      <c r="I137" s="53">
        <f t="shared" si="13"/>
        <v>21299.709372281268</v>
      </c>
      <c r="J137" s="54">
        <f t="shared" si="14"/>
        <v>1651972.3705634228</v>
      </c>
      <c r="K137" s="55">
        <f t="shared" si="16"/>
        <v>2171972.3705634219</v>
      </c>
      <c r="L137" s="56" t="str">
        <f t="shared" si="17"/>
        <v/>
      </c>
      <c r="M137" s="47">
        <f t="shared" si="15"/>
        <v>21299.709372281268</v>
      </c>
    </row>
    <row r="138" spans="1:13" ht="12.75" customHeight="1" x14ac:dyDescent="0.35">
      <c r="A138" s="57">
        <v>12</v>
      </c>
      <c r="B138" s="58" t="s">
        <v>73</v>
      </c>
      <c r="C138" s="59">
        <f>Premissas!$C$42+0*(Premissas!$C$43-Premissas!$C$42)</f>
        <v>0.78300000000000003</v>
      </c>
      <c r="D138" s="60">
        <f>(1+Premissas!$C$26)^(11)</f>
        <v>2.3316389970546108</v>
      </c>
      <c r="E138" s="61">
        <f>Dimensionador!$C$22*(Premissas!$C$42+0*(Premissas!$C$43-Premissas!$C$42))*Premissas!$C$21*(1+Premissas!$C$26)^(11)</f>
        <v>25126.576056371825</v>
      </c>
      <c r="F138" s="61">
        <f>Dimensionador!$C$23*(Premissas!$C$42+0*(Premissas!$C$43-Premissas!$C$42))*Premissas!$C$20*(1+Premissas!$C$26)^(11)</f>
        <v>1220.1697144798782</v>
      </c>
      <c r="G138" s="61">
        <f>Premissas!$C$25*(1+Premissas!$C$27)^(11)/12</f>
        <v>899.7520159708896</v>
      </c>
      <c r="H138" s="61">
        <f t="shared" si="12"/>
        <v>23906.406341891947</v>
      </c>
      <c r="I138" s="61">
        <f t="shared" si="13"/>
        <v>23006.654325921056</v>
      </c>
      <c r="J138" s="62">
        <f t="shared" si="14"/>
        <v>1674979.0248893439</v>
      </c>
      <c r="K138" s="63">
        <f t="shared" si="16"/>
        <v>2194979.024889343</v>
      </c>
      <c r="L138" s="64" t="str">
        <f t="shared" si="17"/>
        <v/>
      </c>
      <c r="M138" s="47">
        <f t="shared" si="15"/>
        <v>23006.654325921056</v>
      </c>
    </row>
    <row r="139" spans="1:13" ht="12.75" customHeight="1" x14ac:dyDescent="0.35">
      <c r="A139" s="65">
        <v>12</v>
      </c>
      <c r="B139" s="58" t="s">
        <v>75</v>
      </c>
      <c r="C139" s="59">
        <f>Premissas!$C$42+0.0833333333*(Premissas!$C$43-Premissas!$C$42)</f>
        <v>0.78158333333390007</v>
      </c>
      <c r="D139" s="60">
        <f>(1+Premissas!$C$26)^(11)</f>
        <v>2.3316389970546108</v>
      </c>
      <c r="E139" s="61">
        <f>Dimensionador!$C$22*(Premissas!$C$42+0.0833333333*(Premissas!$C$43-Premissas!$C$42))*Premissas!$C$21*(1+Premissas!$C$26)^(11)</f>
        <v>25081.11503117095</v>
      </c>
      <c r="F139" s="61">
        <f>Dimensionador!$C$23*(Premissas!$C$42+0.0833333333*(Premissas!$C$43-Premissas!$C$42))*Premissas!$C$20*(1+Premissas!$C$26)^(11)</f>
        <v>1217.9620851548609</v>
      </c>
      <c r="G139" s="61">
        <f>Premissas!$C$25*(1+Premissas!$C$27)^(11)/12</f>
        <v>899.7520159708896</v>
      </c>
      <c r="H139" s="61">
        <f t="shared" si="12"/>
        <v>23863.152946016089</v>
      </c>
      <c r="I139" s="61">
        <f t="shared" si="13"/>
        <v>22963.400930045198</v>
      </c>
      <c r="J139" s="62">
        <f t="shared" si="14"/>
        <v>1697942.4258193891</v>
      </c>
      <c r="K139" s="63">
        <f t="shared" si="16"/>
        <v>2217942.4258193881</v>
      </c>
      <c r="L139" s="64" t="str">
        <f t="shared" si="17"/>
        <v/>
      </c>
      <c r="M139" s="47">
        <f t="shared" si="15"/>
        <v>22963.400930045198</v>
      </c>
    </row>
    <row r="140" spans="1:13" ht="12.75" customHeight="1" x14ac:dyDescent="0.35">
      <c r="A140" s="65">
        <v>12</v>
      </c>
      <c r="B140" s="58" t="s">
        <v>76</v>
      </c>
      <c r="C140" s="59">
        <f>Premissas!$C$42+0.1666666667*(Premissas!$C$43-Premissas!$C$42)</f>
        <v>0.78016666666610002</v>
      </c>
      <c r="D140" s="60">
        <f>(1+Premissas!$C$26)^(11)</f>
        <v>2.3316389970546108</v>
      </c>
      <c r="E140" s="61">
        <f>Dimensionador!$C$22*(Premissas!$C$42+0.1666666667*(Premissas!$C$43-Premissas!$C$42))*Premissas!$C$21*(1+Premissas!$C$26)^(11)</f>
        <v>25035.654005915512</v>
      </c>
      <c r="F140" s="61">
        <f>Dimensionador!$C$23*(Premissas!$C$42+0.1666666667*(Premissas!$C$43-Premissas!$C$42))*Premissas!$C$20*(1+Premissas!$C$26)^(11)</f>
        <v>1215.7544558271943</v>
      </c>
      <c r="G140" s="61">
        <f>Premissas!$C$25*(1+Premissas!$C$27)^(11)/12</f>
        <v>899.7520159708896</v>
      </c>
      <c r="H140" s="61">
        <f t="shared" si="12"/>
        <v>23819.899550088317</v>
      </c>
      <c r="I140" s="61">
        <f t="shared" si="13"/>
        <v>22920.147534117426</v>
      </c>
      <c r="J140" s="62">
        <f t="shared" si="14"/>
        <v>1720862.5733535064</v>
      </c>
      <c r="K140" s="63">
        <f t="shared" si="16"/>
        <v>2240862.5733535057</v>
      </c>
      <c r="L140" s="64" t="str">
        <f t="shared" si="17"/>
        <v/>
      </c>
      <c r="M140" s="47">
        <f t="shared" si="15"/>
        <v>22920.147534117426</v>
      </c>
    </row>
    <row r="141" spans="1:13" ht="12.75" customHeight="1" x14ac:dyDescent="0.35">
      <c r="A141" s="65">
        <v>12</v>
      </c>
      <c r="B141" s="58" t="s">
        <v>77</v>
      </c>
      <c r="C141" s="59">
        <f>Premissas!$C$42+0.25*(Premissas!$C$43-Premissas!$C$42)</f>
        <v>0.77875000000000005</v>
      </c>
      <c r="D141" s="60">
        <f>(1+Premissas!$C$26)^(11)</f>
        <v>2.3316389970546108</v>
      </c>
      <c r="E141" s="61">
        <f>Dimensionador!$C$22*(Premissas!$C$42+0.25*(Premissas!$C$43-Premissas!$C$42))*Premissas!$C$21*(1+Premissas!$C$26)^(11)</f>
        <v>24990.192980714633</v>
      </c>
      <c r="F141" s="61">
        <f>Dimensionador!$C$23*(Premissas!$C$42+0.25*(Premissas!$C$43-Premissas!$C$42))*Premissas!$C$20*(1+Premissas!$C$26)^(11)</f>
        <v>1213.5468265021775</v>
      </c>
      <c r="G141" s="61">
        <f>Premissas!$C$25*(1+Premissas!$C$27)^(11)/12</f>
        <v>899.7520159708896</v>
      </c>
      <c r="H141" s="61">
        <f t="shared" si="12"/>
        <v>23776.646154212456</v>
      </c>
      <c r="I141" s="61">
        <f t="shared" si="13"/>
        <v>22876.894138241565</v>
      </c>
      <c r="J141" s="62">
        <f t="shared" si="14"/>
        <v>1743739.467491748</v>
      </c>
      <c r="K141" s="63">
        <f t="shared" si="16"/>
        <v>2263739.4674917473</v>
      </c>
      <c r="L141" s="64" t="str">
        <f t="shared" si="17"/>
        <v/>
      </c>
      <c r="M141" s="47">
        <f t="shared" si="15"/>
        <v>22876.894138241565</v>
      </c>
    </row>
    <row r="142" spans="1:13" ht="12.75" customHeight="1" x14ac:dyDescent="0.35">
      <c r="A142" s="65">
        <v>12</v>
      </c>
      <c r="B142" s="58" t="s">
        <v>78</v>
      </c>
      <c r="C142" s="59">
        <f>Premissas!$C$42+0.3333333333*(Premissas!$C$43-Premissas!$C$42)</f>
        <v>0.77733333333389998</v>
      </c>
      <c r="D142" s="60">
        <f>(1+Premissas!$C$26)^(11)</f>
        <v>2.3316389970546108</v>
      </c>
      <c r="E142" s="61">
        <f>Dimensionador!$C$22*(Premissas!$C$42+0.3333333333*(Premissas!$C$43-Premissas!$C$42))*Premissas!$C$21*(1+Premissas!$C$26)^(11)</f>
        <v>24944.731955513755</v>
      </c>
      <c r="F142" s="61">
        <f>Dimensionador!$C$23*(Premissas!$C$42+0.3333333333*(Premissas!$C$43-Premissas!$C$42))*Premissas!$C$20*(1+Premissas!$C$26)^(11)</f>
        <v>1211.3391971771605</v>
      </c>
      <c r="G142" s="61">
        <f>Premissas!$C$25*(1+Premissas!$C$27)^(11)/12</f>
        <v>899.7520159708896</v>
      </c>
      <c r="H142" s="61">
        <f t="shared" si="12"/>
        <v>23733.392758336595</v>
      </c>
      <c r="I142" s="61">
        <f t="shared" si="13"/>
        <v>22833.640742365704</v>
      </c>
      <c r="J142" s="62">
        <f t="shared" si="14"/>
        <v>1766573.1082341138</v>
      </c>
      <c r="K142" s="63">
        <f t="shared" si="16"/>
        <v>2286573.1082341131</v>
      </c>
      <c r="L142" s="64" t="str">
        <f t="shared" si="17"/>
        <v/>
      </c>
      <c r="M142" s="47">
        <f t="shared" si="15"/>
        <v>22833.640742365704</v>
      </c>
    </row>
    <row r="143" spans="1:13" ht="12.75" customHeight="1" x14ac:dyDescent="0.35">
      <c r="A143" s="65">
        <v>12</v>
      </c>
      <c r="B143" s="58" t="s">
        <v>79</v>
      </c>
      <c r="C143" s="59">
        <f>Premissas!$C$42+0.4166666667*(Premissas!$C$43-Premissas!$C$42)</f>
        <v>0.77591666666610004</v>
      </c>
      <c r="D143" s="60">
        <f>(1+Premissas!$C$26)^(11)</f>
        <v>2.3316389970546108</v>
      </c>
      <c r="E143" s="61">
        <f>Dimensionador!$C$22*(Premissas!$C$42+0.4166666667*(Premissas!$C$43-Premissas!$C$42))*Premissas!$C$21*(1+Premissas!$C$26)^(11)</f>
        <v>24899.270930258321</v>
      </c>
      <c r="F143" s="61">
        <f>Dimensionador!$C$23*(Premissas!$C$42+0.4166666667*(Premissas!$C$43-Premissas!$C$42))*Premissas!$C$20*(1+Premissas!$C$26)^(11)</f>
        <v>1209.1315678494941</v>
      </c>
      <c r="G143" s="61">
        <f>Premissas!$C$25*(1+Premissas!$C$27)^(11)/12</f>
        <v>899.7520159708896</v>
      </c>
      <c r="H143" s="61">
        <f t="shared" si="12"/>
        <v>23690.139362408827</v>
      </c>
      <c r="I143" s="61">
        <f t="shared" si="13"/>
        <v>22790.387346437936</v>
      </c>
      <c r="J143" s="62">
        <f t="shared" si="14"/>
        <v>1789363.4955805517</v>
      </c>
      <c r="K143" s="63">
        <f t="shared" si="16"/>
        <v>2309363.4955805512</v>
      </c>
      <c r="L143" s="64" t="str">
        <f t="shared" si="17"/>
        <v/>
      </c>
      <c r="M143" s="47">
        <f t="shared" si="15"/>
        <v>22790.387346437936</v>
      </c>
    </row>
    <row r="144" spans="1:13" ht="12.75" customHeight="1" x14ac:dyDescent="0.35">
      <c r="A144" s="65">
        <v>12</v>
      </c>
      <c r="B144" s="58" t="s">
        <v>80</v>
      </c>
      <c r="C144" s="59">
        <f>Premissas!$C$42+0.5*(Premissas!$C$43-Premissas!$C$42)</f>
        <v>0.77449999999999997</v>
      </c>
      <c r="D144" s="60">
        <f>(1+Premissas!$C$26)^(11)</f>
        <v>2.3316389970546108</v>
      </c>
      <c r="E144" s="61">
        <f>Dimensionador!$C$22*(Premissas!$C$42+0.5*(Premissas!$C$43-Premissas!$C$42))*Premissas!$C$21*(1+Premissas!$C$26)^(11)</f>
        <v>24853.809905057442</v>
      </c>
      <c r="F144" s="61">
        <f>Dimensionador!$C$23*(Premissas!$C$42+0.5*(Premissas!$C$43-Premissas!$C$42))*Premissas!$C$20*(1+Premissas!$C$26)^(11)</f>
        <v>1206.9239385244769</v>
      </c>
      <c r="G144" s="61">
        <f>Premissas!$C$25*(1+Premissas!$C$27)^(11)/12</f>
        <v>899.7520159708896</v>
      </c>
      <c r="H144" s="61">
        <f t="shared" si="12"/>
        <v>23646.885966532966</v>
      </c>
      <c r="I144" s="61">
        <f t="shared" si="13"/>
        <v>22747.133950562074</v>
      </c>
      <c r="J144" s="62">
        <f t="shared" si="14"/>
        <v>1812110.6295311137</v>
      </c>
      <c r="K144" s="63">
        <f t="shared" si="16"/>
        <v>2332110.6295311134</v>
      </c>
      <c r="L144" s="64" t="str">
        <f t="shared" si="17"/>
        <v/>
      </c>
      <c r="M144" s="47">
        <f t="shared" si="15"/>
        <v>22747.133950562074</v>
      </c>
    </row>
    <row r="145" spans="1:13" ht="12.75" customHeight="1" x14ac:dyDescent="0.35">
      <c r="A145" s="65">
        <v>12</v>
      </c>
      <c r="B145" s="58" t="s">
        <v>81</v>
      </c>
      <c r="C145" s="59">
        <f>Premissas!$C$42+0.5833333333*(Premissas!$C$43-Premissas!$C$42)</f>
        <v>0.7730833333339</v>
      </c>
      <c r="D145" s="60">
        <f>(1+Premissas!$C$26)^(11)</f>
        <v>2.3316389970546108</v>
      </c>
      <c r="E145" s="61">
        <f>Dimensionador!$C$22*(Premissas!$C$42+0.5833333333*(Premissas!$C$43-Premissas!$C$42))*Premissas!$C$21*(1+Premissas!$C$26)^(11)</f>
        <v>24808.348879856567</v>
      </c>
      <c r="F145" s="61">
        <f>Dimensionador!$C$23*(Premissas!$C$42+0.5833333333*(Premissas!$C$43-Premissas!$C$42))*Premissas!$C$20*(1+Premissas!$C$26)^(11)</f>
        <v>1204.7163091994598</v>
      </c>
      <c r="G145" s="61">
        <f>Premissas!$C$25*(1+Premissas!$C$27)^(11)/12</f>
        <v>899.7520159708896</v>
      </c>
      <c r="H145" s="61">
        <f t="shared" si="12"/>
        <v>23603.632570657108</v>
      </c>
      <c r="I145" s="61">
        <f t="shared" si="13"/>
        <v>22703.880554686217</v>
      </c>
      <c r="J145" s="62">
        <f t="shared" si="14"/>
        <v>1834814.5100858</v>
      </c>
      <c r="K145" s="63">
        <f t="shared" si="16"/>
        <v>2354814.5100857997</v>
      </c>
      <c r="L145" s="64" t="str">
        <f t="shared" si="17"/>
        <v/>
      </c>
      <c r="M145" s="47">
        <f t="shared" si="15"/>
        <v>22703.880554686217</v>
      </c>
    </row>
    <row r="146" spans="1:13" ht="12.75" customHeight="1" x14ac:dyDescent="0.35">
      <c r="A146" s="65">
        <v>12</v>
      </c>
      <c r="B146" s="58" t="s">
        <v>82</v>
      </c>
      <c r="C146" s="59">
        <f>Premissas!$C$42+0.6666666667*(Premissas!$C$43-Premissas!$C$42)</f>
        <v>0.77166666666610007</v>
      </c>
      <c r="D146" s="60">
        <f>(1+Premissas!$C$26)^(11)</f>
        <v>2.3316389970546108</v>
      </c>
      <c r="E146" s="61">
        <f>Dimensionador!$C$22*(Premissas!$C$42+0.6666666667*(Premissas!$C$43-Premissas!$C$42))*Premissas!$C$21*(1+Premissas!$C$26)^(11)</f>
        <v>24762.887854601133</v>
      </c>
      <c r="F146" s="61">
        <f>Dimensionador!$C$23*(Premissas!$C$42+0.6666666667*(Premissas!$C$43-Premissas!$C$42))*Premissas!$C$20*(1+Premissas!$C$26)^(11)</f>
        <v>1202.5086798717937</v>
      </c>
      <c r="G146" s="61">
        <f>Premissas!$C$25*(1+Premissas!$C$27)^(11)/12</f>
        <v>899.7520159708896</v>
      </c>
      <c r="H146" s="61">
        <f t="shared" si="12"/>
        <v>23560.37917472934</v>
      </c>
      <c r="I146" s="61">
        <f t="shared" si="13"/>
        <v>22660.627158758449</v>
      </c>
      <c r="J146" s="62">
        <f t="shared" si="14"/>
        <v>1857475.1372445584</v>
      </c>
      <c r="K146" s="63">
        <f t="shared" si="16"/>
        <v>2377475.137244558</v>
      </c>
      <c r="L146" s="64" t="str">
        <f t="shared" si="17"/>
        <v/>
      </c>
      <c r="M146" s="47">
        <f t="shared" si="15"/>
        <v>22660.627158758449</v>
      </c>
    </row>
    <row r="147" spans="1:13" ht="12.75" customHeight="1" x14ac:dyDescent="0.35">
      <c r="A147" s="65">
        <v>12</v>
      </c>
      <c r="B147" s="58" t="s">
        <v>83</v>
      </c>
      <c r="C147" s="59">
        <f>Premissas!$C$42+0.75*(Premissas!$C$43-Premissas!$C$42)</f>
        <v>0.77024999999999999</v>
      </c>
      <c r="D147" s="60">
        <f>(1+Premissas!$C$26)^(11)</f>
        <v>2.3316389970546108</v>
      </c>
      <c r="E147" s="61">
        <f>Dimensionador!$C$22*(Premissas!$C$42+0.75*(Premissas!$C$43-Premissas!$C$42))*Premissas!$C$21*(1+Premissas!$C$26)^(11)</f>
        <v>24717.426829400254</v>
      </c>
      <c r="F147" s="61">
        <f>Dimensionador!$C$23*(Premissas!$C$42+0.75*(Premissas!$C$43-Premissas!$C$42))*Premissas!$C$20*(1+Premissas!$C$26)^(11)</f>
        <v>1200.3010505467764</v>
      </c>
      <c r="G147" s="61">
        <f>Premissas!$C$25*(1+Premissas!$C$27)^(11)/12</f>
        <v>899.7520159708896</v>
      </c>
      <c r="H147" s="61">
        <f t="shared" si="12"/>
        <v>23517.125778853479</v>
      </c>
      <c r="I147" s="61">
        <f t="shared" si="13"/>
        <v>22617.373762882587</v>
      </c>
      <c r="J147" s="62">
        <f t="shared" si="14"/>
        <v>1880092.511007441</v>
      </c>
      <c r="K147" s="63">
        <f t="shared" si="16"/>
        <v>2400092.5110074407</v>
      </c>
      <c r="L147" s="64" t="str">
        <f t="shared" si="17"/>
        <v/>
      </c>
      <c r="M147" s="47">
        <f t="shared" si="15"/>
        <v>22617.373762882587</v>
      </c>
    </row>
    <row r="148" spans="1:13" ht="12.75" customHeight="1" x14ac:dyDescent="0.35">
      <c r="A148" s="65">
        <v>12</v>
      </c>
      <c r="B148" s="58" t="s">
        <v>84</v>
      </c>
      <c r="C148" s="59">
        <f>Premissas!$C$42+0.8333333333*(Premissas!$C$43-Premissas!$C$42)</f>
        <v>0.76883333333390003</v>
      </c>
      <c r="D148" s="60">
        <f>(1+Premissas!$C$26)^(11)</f>
        <v>2.3316389970546108</v>
      </c>
      <c r="E148" s="61">
        <f>Dimensionador!$C$22*(Premissas!$C$42+0.8333333333*(Premissas!$C$43-Premissas!$C$42))*Premissas!$C$21*(1+Premissas!$C$26)^(11)</f>
        <v>24671.965804199372</v>
      </c>
      <c r="F148" s="61">
        <f>Dimensionador!$C$23*(Premissas!$C$42+0.8333333333*(Premissas!$C$43-Premissas!$C$42))*Premissas!$C$20*(1+Premissas!$C$26)^(11)</f>
        <v>1198.0934212217592</v>
      </c>
      <c r="G148" s="61">
        <f>Premissas!$C$25*(1+Premissas!$C$27)^(11)/12</f>
        <v>899.7520159708896</v>
      </c>
      <c r="H148" s="61">
        <f t="shared" si="12"/>
        <v>23473.872382977614</v>
      </c>
      <c r="I148" s="61">
        <f t="shared" si="13"/>
        <v>22574.120367006723</v>
      </c>
      <c r="J148" s="62">
        <f t="shared" si="14"/>
        <v>1902666.6313744476</v>
      </c>
      <c r="K148" s="63">
        <f t="shared" si="16"/>
        <v>2422666.6313744476</v>
      </c>
      <c r="L148" s="64" t="str">
        <f t="shared" si="17"/>
        <v/>
      </c>
      <c r="M148" s="47">
        <f t="shared" si="15"/>
        <v>22574.120367006723</v>
      </c>
    </row>
    <row r="149" spans="1:13" ht="12.75" customHeight="1" x14ac:dyDescent="0.35">
      <c r="A149" s="66">
        <v>12</v>
      </c>
      <c r="B149" s="67" t="s">
        <v>85</v>
      </c>
      <c r="C149" s="68">
        <f>Premissas!$C$42+0.9166666667*(Premissas!$C$43-Premissas!$C$42)</f>
        <v>0.76741666666609998</v>
      </c>
      <c r="D149" s="69">
        <f>(1+Premissas!$C$26)^(11)</f>
        <v>2.3316389970546108</v>
      </c>
      <c r="E149" s="70">
        <f>Dimensionador!$C$22*(Premissas!$C$42+0.9166666667*(Premissas!$C$43-Premissas!$C$42))*Premissas!$C$21*(1+Premissas!$C$26)^(11)</f>
        <v>24626.504778943938</v>
      </c>
      <c r="F149" s="70">
        <f>Dimensionador!$C$23*(Premissas!$C$42+0.9166666667*(Premissas!$C$43-Premissas!$C$42))*Premissas!$C$20*(1+Premissas!$C$26)^(11)</f>
        <v>1195.8857918940932</v>
      </c>
      <c r="G149" s="70">
        <f>Premissas!$C$25*(1+Premissas!$C$27)^(11)/12</f>
        <v>899.7520159708896</v>
      </c>
      <c r="H149" s="70">
        <f t="shared" si="12"/>
        <v>23430.618987049846</v>
      </c>
      <c r="I149" s="70">
        <f t="shared" si="13"/>
        <v>22530.866971078955</v>
      </c>
      <c r="J149" s="71">
        <f t="shared" si="14"/>
        <v>1925197.4983455266</v>
      </c>
      <c r="K149" s="72">
        <f t="shared" si="16"/>
        <v>2445197.4983455264</v>
      </c>
      <c r="L149" s="73" t="str">
        <f t="shared" si="17"/>
        <v/>
      </c>
      <c r="M149" s="47">
        <f t="shared" si="15"/>
        <v>22530.866971078955</v>
      </c>
    </row>
    <row r="150" spans="1:13" ht="12.75" customHeight="1" x14ac:dyDescent="0.35">
      <c r="A150" s="39">
        <v>13</v>
      </c>
      <c r="B150" s="40" t="s">
        <v>73</v>
      </c>
      <c r="C150" s="41">
        <f>Premissas!$C$43+0*(Premissas!$C$44-Premissas!$C$43)</f>
        <v>0.76600000000000001</v>
      </c>
      <c r="D150" s="42">
        <f>(1+Premissas!$C$26)^(12)</f>
        <v>2.5181701168189798</v>
      </c>
      <c r="E150" s="43">
        <f>Dimensionador!$C$22*(Premissas!$C$43+0*(Premissas!$C$44-Premissas!$C$43))*Premissas!$C$21*(1+Premissas!$C$26)^(12)</f>
        <v>26547.52725404251</v>
      </c>
      <c r="F150" s="43">
        <f>Dimensionador!$C$23*(Premissas!$C$43+0*(Premissas!$C$44-Premissas!$C$43))*Premissas!$C$20*(1+Premissas!$C$26)^(12)</f>
        <v>1289.1724155746024</v>
      </c>
      <c r="G150" s="43">
        <f>Premissas!$C$25*(1+Premissas!$C$27)^(12)/12</f>
        <v>926.7445764500161</v>
      </c>
      <c r="H150" s="43">
        <f t="shared" si="12"/>
        <v>25258.354838467909</v>
      </c>
      <c r="I150" s="43">
        <f t="shared" si="13"/>
        <v>24331.610262017894</v>
      </c>
      <c r="J150" s="44">
        <f t="shared" si="14"/>
        <v>1949529.1086075446</v>
      </c>
      <c r="K150" s="45">
        <f t="shared" si="16"/>
        <v>2469529.1086075441</v>
      </c>
      <c r="L150" s="46" t="str">
        <f t="shared" si="17"/>
        <v/>
      </c>
      <c r="M150" s="47">
        <f t="shared" si="15"/>
        <v>24331.610262017894</v>
      </c>
    </row>
    <row r="151" spans="1:13" ht="12.75" customHeight="1" x14ac:dyDescent="0.35">
      <c r="A151" s="48">
        <v>13</v>
      </c>
      <c r="B151" s="40" t="s">
        <v>75</v>
      </c>
      <c r="C151" s="41">
        <f>Premissas!$C$43+0.0833333333*(Premissas!$C$44-Premissas!$C$43)</f>
        <v>0.76466666666720007</v>
      </c>
      <c r="D151" s="42">
        <f>(1+Premissas!$C$26)^(12)</f>
        <v>2.5181701168189798</v>
      </c>
      <c r="E151" s="43">
        <f>Dimensionador!$C$22*(Premissas!$C$43+0.0833333333*(Premissas!$C$44-Premissas!$C$43))*Premissas!$C$21*(1+Premissas!$C$26)^(12)</f>
        <v>26501.317459014797</v>
      </c>
      <c r="F151" s="43">
        <f>Dimensionador!$C$23*(Premissas!$C$43+0.0833333333*(Premissas!$C$44-Premissas!$C$43))*Premissas!$C$20*(1+Premissas!$C$26)^(12)</f>
        <v>1286.9284252959967</v>
      </c>
      <c r="G151" s="43">
        <f>Premissas!$C$25*(1+Premissas!$C$27)^(12)/12</f>
        <v>926.7445764500161</v>
      </c>
      <c r="H151" s="43">
        <f t="shared" si="12"/>
        <v>25214.389033718802</v>
      </c>
      <c r="I151" s="43">
        <f t="shared" si="13"/>
        <v>24287.644457268787</v>
      </c>
      <c r="J151" s="44">
        <f t="shared" si="14"/>
        <v>1973816.7530648133</v>
      </c>
      <c r="K151" s="45">
        <f t="shared" si="16"/>
        <v>2493816.7530648131</v>
      </c>
      <c r="L151" s="46" t="str">
        <f t="shared" si="17"/>
        <v/>
      </c>
      <c r="M151" s="47">
        <f t="shared" si="15"/>
        <v>24287.644457268787</v>
      </c>
    </row>
    <row r="152" spans="1:13" ht="12.75" customHeight="1" x14ac:dyDescent="0.35">
      <c r="A152" s="48">
        <v>13</v>
      </c>
      <c r="B152" s="40" t="s">
        <v>76</v>
      </c>
      <c r="C152" s="41">
        <f>Premissas!$C$43+0.1666666667*(Premissas!$C$44-Premissas!$C$43)</f>
        <v>0.76333333333279996</v>
      </c>
      <c r="D152" s="42">
        <f>(1+Premissas!$C$26)^(12)</f>
        <v>2.5181701168189798</v>
      </c>
      <c r="E152" s="43">
        <f>Dimensionador!$C$22*(Premissas!$C$43+0.1666666667*(Premissas!$C$44-Premissas!$C$43))*Premissas!$C$21*(1+Premissas!$C$26)^(12)</f>
        <v>26455.107663931623</v>
      </c>
      <c r="F152" s="43">
        <f>Dimensionador!$C$23*(Premissas!$C$43+0.1666666667*(Premissas!$C$44-Premissas!$C$43))*Premissas!$C$20*(1+Premissas!$C$26)^(12)</f>
        <v>1284.684435014698</v>
      </c>
      <c r="G152" s="43">
        <f>Premissas!$C$25*(1+Premissas!$C$27)^(12)/12</f>
        <v>926.7445764500161</v>
      </c>
      <c r="H152" s="43">
        <f t="shared" si="12"/>
        <v>25170.423228916927</v>
      </c>
      <c r="I152" s="43">
        <f t="shared" si="13"/>
        <v>24243.678652466911</v>
      </c>
      <c r="J152" s="44">
        <f t="shared" si="14"/>
        <v>1998060.4317172803</v>
      </c>
      <c r="K152" s="45">
        <f t="shared" si="16"/>
        <v>2518060.4317172798</v>
      </c>
      <c r="L152" s="46" t="str">
        <f t="shared" si="17"/>
        <v/>
      </c>
      <c r="M152" s="47">
        <f t="shared" si="15"/>
        <v>24243.678652466911</v>
      </c>
    </row>
    <row r="153" spans="1:13" ht="12.75" customHeight="1" x14ac:dyDescent="0.35">
      <c r="A153" s="48">
        <v>13</v>
      </c>
      <c r="B153" s="40" t="s">
        <v>77</v>
      </c>
      <c r="C153" s="41">
        <f>Premissas!$C$43+0.25*(Premissas!$C$44-Premissas!$C$43)</f>
        <v>0.76200000000000001</v>
      </c>
      <c r="D153" s="42">
        <f>(1+Premissas!$C$26)^(12)</f>
        <v>2.5181701168189798</v>
      </c>
      <c r="E153" s="43">
        <f>Dimensionador!$C$22*(Premissas!$C$43+0.25*(Premissas!$C$44-Premissas!$C$43))*Premissas!$C$21*(1+Premissas!$C$26)^(12)</f>
        <v>26408.897868903903</v>
      </c>
      <c r="F153" s="43">
        <f>Dimensionador!$C$23*(Premissas!$C$43+0.25*(Premissas!$C$44-Premissas!$C$43))*Premissas!$C$20*(1+Premissas!$C$26)^(12)</f>
        <v>1282.4404447360928</v>
      </c>
      <c r="G153" s="43">
        <f>Premissas!$C$25*(1+Premissas!$C$27)^(12)/12</f>
        <v>926.7445764500161</v>
      </c>
      <c r="H153" s="43">
        <f t="shared" si="12"/>
        <v>25126.457424167809</v>
      </c>
      <c r="I153" s="43">
        <f t="shared" si="13"/>
        <v>24199.712847717794</v>
      </c>
      <c r="J153" s="44">
        <f t="shared" si="14"/>
        <v>2022260.1445649981</v>
      </c>
      <c r="K153" s="45">
        <f t="shared" si="16"/>
        <v>2542260.1445649974</v>
      </c>
      <c r="L153" s="46" t="str">
        <f t="shared" si="17"/>
        <v/>
      </c>
      <c r="M153" s="47">
        <f t="shared" si="15"/>
        <v>24199.712847717794</v>
      </c>
    </row>
    <row r="154" spans="1:13" ht="12.75" customHeight="1" x14ac:dyDescent="0.35">
      <c r="A154" s="48">
        <v>13</v>
      </c>
      <c r="B154" s="40" t="s">
        <v>78</v>
      </c>
      <c r="C154" s="41">
        <f>Premissas!$C$43+0.3333333333*(Premissas!$C$44-Premissas!$C$43)</f>
        <v>0.76066666666720006</v>
      </c>
      <c r="D154" s="42">
        <f>(1+Premissas!$C$26)^(12)</f>
        <v>2.5181701168189798</v>
      </c>
      <c r="E154" s="43">
        <f>Dimensionador!$C$22*(Premissas!$C$43+0.3333333333*(Premissas!$C$44-Premissas!$C$43))*Premissas!$C$21*(1+Premissas!$C$26)^(12)</f>
        <v>26362.68807387619</v>
      </c>
      <c r="F154" s="43">
        <f>Dimensionador!$C$23*(Premissas!$C$43+0.3333333333*(Premissas!$C$44-Premissas!$C$43))*Premissas!$C$20*(1+Premissas!$C$26)^(12)</f>
        <v>1280.1964544574871</v>
      </c>
      <c r="G154" s="43">
        <f>Premissas!$C$25*(1+Premissas!$C$27)^(12)/12</f>
        <v>926.7445764500161</v>
      </c>
      <c r="H154" s="43">
        <f t="shared" si="12"/>
        <v>25082.491619418703</v>
      </c>
      <c r="I154" s="43">
        <f t="shared" si="13"/>
        <v>24155.747042968687</v>
      </c>
      <c r="J154" s="44">
        <f t="shared" si="14"/>
        <v>2046415.8916079667</v>
      </c>
      <c r="K154" s="45">
        <f t="shared" si="16"/>
        <v>2566415.8916079663</v>
      </c>
      <c r="L154" s="46" t="str">
        <f t="shared" si="17"/>
        <v/>
      </c>
      <c r="M154" s="47">
        <f t="shared" si="15"/>
        <v>24155.747042968687</v>
      </c>
    </row>
    <row r="155" spans="1:13" ht="12.75" customHeight="1" x14ac:dyDescent="0.35">
      <c r="A155" s="48">
        <v>13</v>
      </c>
      <c r="B155" s="40" t="s">
        <v>79</v>
      </c>
      <c r="C155" s="41">
        <f>Premissas!$C$43+0.4166666667*(Premissas!$C$44-Premissas!$C$43)</f>
        <v>0.75933333333279995</v>
      </c>
      <c r="D155" s="42">
        <f>(1+Premissas!$C$26)^(12)</f>
        <v>2.5181701168189798</v>
      </c>
      <c r="E155" s="43">
        <f>Dimensionador!$C$22*(Premissas!$C$43+0.4166666667*(Premissas!$C$44-Premissas!$C$43))*Premissas!$C$21*(1+Premissas!$C$26)^(12)</f>
        <v>26316.478278793016</v>
      </c>
      <c r="F155" s="43">
        <f>Dimensionador!$C$23*(Premissas!$C$43+0.4166666667*(Premissas!$C$44-Premissas!$C$43))*Premissas!$C$20*(1+Premissas!$C$26)^(12)</f>
        <v>1277.9524641761882</v>
      </c>
      <c r="G155" s="43">
        <f>Premissas!$C$25*(1+Premissas!$C$27)^(12)/12</f>
        <v>926.7445764500161</v>
      </c>
      <c r="H155" s="43">
        <f t="shared" si="12"/>
        <v>25038.525814616827</v>
      </c>
      <c r="I155" s="43">
        <f t="shared" si="13"/>
        <v>24111.781238166812</v>
      </c>
      <c r="J155" s="44">
        <f t="shared" si="14"/>
        <v>2070527.6728461336</v>
      </c>
      <c r="K155" s="45">
        <f t="shared" si="16"/>
        <v>2590527.6728461329</v>
      </c>
      <c r="L155" s="46" t="str">
        <f t="shared" si="17"/>
        <v/>
      </c>
      <c r="M155" s="47">
        <f t="shared" si="15"/>
        <v>24111.781238166812</v>
      </c>
    </row>
    <row r="156" spans="1:13" ht="12.75" customHeight="1" x14ac:dyDescent="0.35">
      <c r="A156" s="48">
        <v>13</v>
      </c>
      <c r="B156" s="40" t="s">
        <v>80</v>
      </c>
      <c r="C156" s="41">
        <f>Premissas!$C$43+0.5*(Premissas!$C$44-Premissas!$C$43)</f>
        <v>0.75800000000000001</v>
      </c>
      <c r="D156" s="42">
        <f>(1+Premissas!$C$26)^(12)</f>
        <v>2.5181701168189798</v>
      </c>
      <c r="E156" s="43">
        <f>Dimensionador!$C$22*(Premissas!$C$43+0.5*(Premissas!$C$44-Premissas!$C$43))*Premissas!$C$21*(1+Premissas!$C$26)^(12)</f>
        <v>26270.268483765303</v>
      </c>
      <c r="F156" s="43">
        <f>Dimensionador!$C$23*(Premissas!$C$43+0.5*(Premissas!$C$44-Premissas!$C$43))*Premissas!$C$20*(1+Premissas!$C$26)^(12)</f>
        <v>1275.7084738975827</v>
      </c>
      <c r="G156" s="43">
        <f>Premissas!$C$25*(1+Premissas!$C$27)^(12)/12</f>
        <v>926.7445764500161</v>
      </c>
      <c r="H156" s="43">
        <f t="shared" si="12"/>
        <v>24994.560009867721</v>
      </c>
      <c r="I156" s="43">
        <f t="shared" si="13"/>
        <v>24067.815433417705</v>
      </c>
      <c r="J156" s="44">
        <f t="shared" si="14"/>
        <v>2094595.4882795513</v>
      </c>
      <c r="K156" s="45">
        <f t="shared" si="16"/>
        <v>2614595.4882795508</v>
      </c>
      <c r="L156" s="46" t="str">
        <f t="shared" si="17"/>
        <v/>
      </c>
      <c r="M156" s="47">
        <f t="shared" si="15"/>
        <v>24067.815433417705</v>
      </c>
    </row>
    <row r="157" spans="1:13" ht="12.75" customHeight="1" x14ac:dyDescent="0.35">
      <c r="A157" s="48">
        <v>13</v>
      </c>
      <c r="B157" s="40" t="s">
        <v>81</v>
      </c>
      <c r="C157" s="41">
        <f>Premissas!$C$43+0.5833333333*(Premissas!$C$44-Premissas!$C$43)</f>
        <v>0.75666666666719995</v>
      </c>
      <c r="D157" s="42">
        <f>(1+Premissas!$C$26)^(12)</f>
        <v>2.5181701168189798</v>
      </c>
      <c r="E157" s="43">
        <f>Dimensionador!$C$22*(Premissas!$C$43+0.5833333333*(Premissas!$C$44-Premissas!$C$43))*Premissas!$C$21*(1+Premissas!$C$26)^(12)</f>
        <v>26224.058688737587</v>
      </c>
      <c r="F157" s="43">
        <f>Dimensionador!$C$23*(Premissas!$C$43+0.5833333333*(Premissas!$C$44-Premissas!$C$43))*Premissas!$C$20*(1+Premissas!$C$26)^(12)</f>
        <v>1273.4644836189771</v>
      </c>
      <c r="G157" s="43">
        <f>Premissas!$C$25*(1+Premissas!$C$27)^(12)/12</f>
        <v>926.7445764500161</v>
      </c>
      <c r="H157" s="43">
        <f t="shared" si="12"/>
        <v>24950.59420511861</v>
      </c>
      <c r="I157" s="43">
        <f t="shared" si="13"/>
        <v>24023.849628668595</v>
      </c>
      <c r="J157" s="44">
        <f t="shared" si="14"/>
        <v>2118619.33790822</v>
      </c>
      <c r="K157" s="45">
        <f t="shared" si="16"/>
        <v>2638619.3379082195</v>
      </c>
      <c r="L157" s="46" t="str">
        <f t="shared" si="17"/>
        <v/>
      </c>
      <c r="M157" s="47">
        <f t="shared" si="15"/>
        <v>24023.849628668595</v>
      </c>
    </row>
    <row r="158" spans="1:13" ht="12.75" customHeight="1" x14ac:dyDescent="0.35">
      <c r="A158" s="48">
        <v>13</v>
      </c>
      <c r="B158" s="40" t="s">
        <v>82</v>
      </c>
      <c r="C158" s="41">
        <f>Premissas!$C$43+0.6666666667*(Premissas!$C$44-Premissas!$C$43)</f>
        <v>0.75533333333280006</v>
      </c>
      <c r="D158" s="42">
        <f>(1+Premissas!$C$26)^(12)</f>
        <v>2.5181701168189798</v>
      </c>
      <c r="E158" s="43">
        <f>Dimensionador!$C$22*(Premissas!$C$43+0.6666666667*(Premissas!$C$44-Premissas!$C$43))*Premissas!$C$21*(1+Premissas!$C$26)^(12)</f>
        <v>26177.84889365442</v>
      </c>
      <c r="F158" s="43">
        <f>Dimensionador!$C$23*(Premissas!$C$43+0.6666666667*(Premissas!$C$44-Premissas!$C$43))*Premissas!$C$20*(1+Premissas!$C$26)^(12)</f>
        <v>1271.2204933376788</v>
      </c>
      <c r="G158" s="43">
        <f>Premissas!$C$25*(1+Premissas!$C$27)^(12)/12</f>
        <v>926.7445764500161</v>
      </c>
      <c r="H158" s="43">
        <f t="shared" si="12"/>
        <v>24906.628400316742</v>
      </c>
      <c r="I158" s="43">
        <f t="shared" si="13"/>
        <v>23979.883823866727</v>
      </c>
      <c r="J158" s="44">
        <f t="shared" si="14"/>
        <v>2142599.221732087</v>
      </c>
      <c r="K158" s="45">
        <f t="shared" si="16"/>
        <v>2662599.2217320865</v>
      </c>
      <c r="L158" s="46" t="str">
        <f t="shared" si="17"/>
        <v/>
      </c>
      <c r="M158" s="47">
        <f t="shared" si="15"/>
        <v>23979.883823866727</v>
      </c>
    </row>
    <row r="159" spans="1:13" ht="12.75" customHeight="1" x14ac:dyDescent="0.35">
      <c r="A159" s="48">
        <v>13</v>
      </c>
      <c r="B159" s="40" t="s">
        <v>83</v>
      </c>
      <c r="C159" s="41">
        <f>Premissas!$C$43+0.75*(Premissas!$C$44-Premissas!$C$43)</f>
        <v>0.754</v>
      </c>
      <c r="D159" s="42">
        <f>(1+Premissas!$C$26)^(12)</f>
        <v>2.5181701168189798</v>
      </c>
      <c r="E159" s="43">
        <f>Dimensionador!$C$22*(Premissas!$C$43+0.75*(Premissas!$C$44-Premissas!$C$43))*Premissas!$C$21*(1+Premissas!$C$26)^(12)</f>
        <v>26131.6390986267</v>
      </c>
      <c r="F159" s="43">
        <f>Dimensionador!$C$23*(Premissas!$C$43+0.75*(Premissas!$C$44-Premissas!$C$43))*Premissas!$C$20*(1+Premissas!$C$26)^(12)</f>
        <v>1268.9765030590731</v>
      </c>
      <c r="G159" s="43">
        <f>Premissas!$C$25*(1+Premissas!$C$27)^(12)/12</f>
        <v>926.7445764500161</v>
      </c>
      <c r="H159" s="43">
        <f t="shared" si="12"/>
        <v>24862.662595567628</v>
      </c>
      <c r="I159" s="43">
        <f t="shared" si="13"/>
        <v>23935.918019117613</v>
      </c>
      <c r="J159" s="44">
        <f t="shared" si="14"/>
        <v>2166535.1397512048</v>
      </c>
      <c r="K159" s="45">
        <f t="shared" si="16"/>
        <v>2686535.1397512043</v>
      </c>
      <c r="L159" s="46" t="str">
        <f t="shared" si="17"/>
        <v/>
      </c>
      <c r="M159" s="47">
        <f t="shared" si="15"/>
        <v>23935.918019117613</v>
      </c>
    </row>
    <row r="160" spans="1:13" ht="12.75" customHeight="1" x14ac:dyDescent="0.35">
      <c r="A160" s="48">
        <v>13</v>
      </c>
      <c r="B160" s="40" t="s">
        <v>84</v>
      </c>
      <c r="C160" s="41">
        <f>Premissas!$C$43+0.8333333333*(Premissas!$C$44-Premissas!$C$43)</f>
        <v>0.75266666666719995</v>
      </c>
      <c r="D160" s="42">
        <f>(1+Premissas!$C$26)^(12)</f>
        <v>2.5181701168189798</v>
      </c>
      <c r="E160" s="43">
        <f>Dimensionador!$C$22*(Premissas!$C$43+0.8333333333*(Premissas!$C$44-Premissas!$C$43))*Premissas!$C$21*(1+Premissas!$C$26)^(12)</f>
        <v>26085.429303598983</v>
      </c>
      <c r="F160" s="43">
        <f>Dimensionador!$C$23*(Premissas!$C$43+0.8333333333*(Premissas!$C$44-Premissas!$C$43))*Premissas!$C$20*(1+Premissas!$C$26)^(12)</f>
        <v>1266.7325127804675</v>
      </c>
      <c r="G160" s="43">
        <f>Premissas!$C$25*(1+Premissas!$C$27)^(12)/12</f>
        <v>926.7445764500161</v>
      </c>
      <c r="H160" s="43">
        <f t="shared" si="12"/>
        <v>24818.696790818514</v>
      </c>
      <c r="I160" s="43">
        <f t="shared" si="13"/>
        <v>23891.952214368499</v>
      </c>
      <c r="J160" s="44">
        <f t="shared" si="14"/>
        <v>2190427.0919655734</v>
      </c>
      <c r="K160" s="45">
        <f t="shared" si="16"/>
        <v>2710427.0919655729</v>
      </c>
      <c r="L160" s="46" t="str">
        <f t="shared" si="17"/>
        <v/>
      </c>
      <c r="M160" s="47">
        <f t="shared" si="15"/>
        <v>23891.952214368499</v>
      </c>
    </row>
    <row r="161" spans="1:13" ht="12.75" customHeight="1" x14ac:dyDescent="0.35">
      <c r="A161" s="49">
        <v>13</v>
      </c>
      <c r="B161" s="50" t="s">
        <v>85</v>
      </c>
      <c r="C161" s="51">
        <f>Premissas!$C$43+0.9166666667*(Premissas!$C$44-Premissas!$C$43)</f>
        <v>0.75133333333280006</v>
      </c>
      <c r="D161" s="52">
        <f>(1+Premissas!$C$26)^(12)</f>
        <v>2.5181701168189798</v>
      </c>
      <c r="E161" s="53">
        <f>Dimensionador!$C$22*(Premissas!$C$43+0.9166666667*(Premissas!$C$44-Premissas!$C$43))*Premissas!$C$21*(1+Premissas!$C$26)^(12)</f>
        <v>26039.219508515816</v>
      </c>
      <c r="F161" s="53">
        <f>Dimensionador!$C$23*(Premissas!$C$43+0.9166666667*(Premissas!$C$44-Premissas!$C$43))*Premissas!$C$20*(1+Premissas!$C$26)^(12)</f>
        <v>1264.4885224991694</v>
      </c>
      <c r="G161" s="53">
        <f>Premissas!$C$25*(1+Premissas!$C$27)^(12)/12</f>
        <v>926.7445764500161</v>
      </c>
      <c r="H161" s="53">
        <f t="shared" si="12"/>
        <v>24774.730986016646</v>
      </c>
      <c r="I161" s="53">
        <f t="shared" si="13"/>
        <v>23847.986409566631</v>
      </c>
      <c r="J161" s="54">
        <f t="shared" si="14"/>
        <v>2214275.0783751402</v>
      </c>
      <c r="K161" s="55">
        <f t="shared" si="16"/>
        <v>2734275.0783751397</v>
      </c>
      <c r="L161" s="56" t="str">
        <f t="shared" si="17"/>
        <v/>
      </c>
      <c r="M161" s="47">
        <f t="shared" si="15"/>
        <v>23847.986409566631</v>
      </c>
    </row>
    <row r="162" spans="1:13" ht="12.75" customHeight="1" x14ac:dyDescent="0.35">
      <c r="A162" s="57">
        <v>14</v>
      </c>
      <c r="B162" s="58" t="s">
        <v>73</v>
      </c>
      <c r="C162" s="59">
        <f>Premissas!$C$44+0*(Premissas!$C$45-Premissas!$C$44)</f>
        <v>0.75</v>
      </c>
      <c r="D162" s="60">
        <f>(1+Premissas!$C$26)^(13)</f>
        <v>2.7196237261644982</v>
      </c>
      <c r="E162" s="61">
        <f>Dimensionador!$C$22*(Premissas!$C$44+0*(Premissas!$C$45-Premissas!$C$44))*Premissas!$C$21*(1+Premissas!$C$26)^(13)</f>
        <v>28072.450490567146</v>
      </c>
      <c r="F162" s="61">
        <f>Dimensionador!$C$23*(Premissas!$C$44+0*(Premissas!$C$45-Premissas!$C$44))*Premissas!$C$20*(1+Premissas!$C$26)^(13)</f>
        <v>1363.2240947982086</v>
      </c>
      <c r="G162" s="61">
        <f>Premissas!$C$25*(1+Premissas!$C$27)^(13)/12</f>
        <v>954.5469137435166</v>
      </c>
      <c r="H162" s="61">
        <f t="shared" si="12"/>
        <v>26709.226395768936</v>
      </c>
      <c r="I162" s="61">
        <f t="shared" si="13"/>
        <v>25754.679482025418</v>
      </c>
      <c r="J162" s="62">
        <f t="shared" si="14"/>
        <v>2240029.7578571658</v>
      </c>
      <c r="K162" s="63">
        <f t="shared" si="16"/>
        <v>2760029.7578571653</v>
      </c>
      <c r="L162" s="64" t="str">
        <f t="shared" si="17"/>
        <v/>
      </c>
      <c r="M162" s="47">
        <f t="shared" si="15"/>
        <v>25754.679482025418</v>
      </c>
    </row>
    <row r="163" spans="1:13" ht="12.75" customHeight="1" x14ac:dyDescent="0.35">
      <c r="A163" s="65">
        <v>14</v>
      </c>
      <c r="B163" s="58" t="s">
        <v>75</v>
      </c>
      <c r="C163" s="59">
        <f>Premissas!$C$44+0.0833333333*(Premissas!$C$45-Premissas!$C$44)</f>
        <v>0.74866666666720005</v>
      </c>
      <c r="D163" s="60">
        <f>(1+Premissas!$C$26)^(13)</f>
        <v>2.7196237261644982</v>
      </c>
      <c r="E163" s="61">
        <f>Dimensionador!$C$22*(Premissas!$C$44+0.0833333333*(Premissas!$C$45-Premissas!$C$44))*Premissas!$C$21*(1+Premissas!$C$26)^(13)</f>
        <v>28022.543911937209</v>
      </c>
      <c r="F163" s="61">
        <f>Dimensionador!$C$23*(Premissas!$C$44+0.0833333333*(Premissas!$C$45-Premissas!$C$44))*Premissas!$C$20*(1+Premissas!$C$26)^(13)</f>
        <v>1360.8005852973145</v>
      </c>
      <c r="G163" s="61">
        <f>Premissas!$C$25*(1+Premissas!$C$27)^(13)/12</f>
        <v>954.5469137435166</v>
      </c>
      <c r="H163" s="61">
        <f t="shared" si="12"/>
        <v>26661.743326639895</v>
      </c>
      <c r="I163" s="61">
        <f t="shared" si="13"/>
        <v>25707.196412896377</v>
      </c>
      <c r="J163" s="62">
        <f t="shared" si="14"/>
        <v>2265736.954270062</v>
      </c>
      <c r="K163" s="63">
        <f t="shared" si="16"/>
        <v>2785736.9542700616</v>
      </c>
      <c r="L163" s="64" t="str">
        <f t="shared" si="17"/>
        <v/>
      </c>
      <c r="M163" s="47">
        <f t="shared" si="15"/>
        <v>25707.196412896377</v>
      </c>
    </row>
    <row r="164" spans="1:13" ht="12.75" customHeight="1" x14ac:dyDescent="0.35">
      <c r="A164" s="65">
        <v>14</v>
      </c>
      <c r="B164" s="58" t="s">
        <v>76</v>
      </c>
      <c r="C164" s="59">
        <f>Premissas!$C$44+0.1666666667*(Premissas!$C$45-Premissas!$C$44)</f>
        <v>0.74733333333279994</v>
      </c>
      <c r="D164" s="60">
        <f>(1+Premissas!$C$26)^(13)</f>
        <v>2.7196237261644982</v>
      </c>
      <c r="E164" s="61">
        <f>Dimensionador!$C$22*(Premissas!$C$44+0.1666666667*(Premissas!$C$45-Premissas!$C$44))*Premissas!$C$21*(1+Premissas!$C$26)^(13)</f>
        <v>27972.637333247385</v>
      </c>
      <c r="F164" s="61">
        <f>Dimensionador!$C$23*(Premissas!$C$44+0.1666666667*(Premissas!$C$45-Premissas!$C$44))*Premissas!$C$20*(1+Premissas!$C$26)^(13)</f>
        <v>1358.3770757935122</v>
      </c>
      <c r="G164" s="61">
        <f>Premissas!$C$25*(1+Premissas!$C$27)^(13)/12</f>
        <v>954.5469137435166</v>
      </c>
      <c r="H164" s="61">
        <f t="shared" si="12"/>
        <v>26614.260257453872</v>
      </c>
      <c r="I164" s="61">
        <f t="shared" si="13"/>
        <v>25659.713343710355</v>
      </c>
      <c r="J164" s="62">
        <f t="shared" si="14"/>
        <v>2291396.6676137722</v>
      </c>
      <c r="K164" s="63">
        <f t="shared" si="16"/>
        <v>2811396.6676137717</v>
      </c>
      <c r="L164" s="64" t="str">
        <f t="shared" si="17"/>
        <v/>
      </c>
      <c r="M164" s="47">
        <f t="shared" si="15"/>
        <v>25659.713343710355</v>
      </c>
    </row>
    <row r="165" spans="1:13" ht="12.75" customHeight="1" x14ac:dyDescent="0.35">
      <c r="A165" s="65">
        <v>14</v>
      </c>
      <c r="B165" s="58" t="s">
        <v>77</v>
      </c>
      <c r="C165" s="59">
        <f>Premissas!$C$44+0.25*(Premissas!$C$45-Premissas!$C$44)</f>
        <v>0.746</v>
      </c>
      <c r="D165" s="60">
        <f>(1+Premissas!$C$26)^(13)</f>
        <v>2.7196237261644982</v>
      </c>
      <c r="E165" s="61">
        <f>Dimensionador!$C$22*(Premissas!$C$44+0.25*(Premissas!$C$45-Premissas!$C$44))*Premissas!$C$21*(1+Premissas!$C$26)^(13)</f>
        <v>27922.730754617452</v>
      </c>
      <c r="F165" s="61">
        <f>Dimensionador!$C$23*(Premissas!$C$44+0.25*(Premissas!$C$45-Premissas!$C$44))*Premissas!$C$20*(1+Premissas!$C$26)^(13)</f>
        <v>1355.9535662926182</v>
      </c>
      <c r="G165" s="61">
        <f>Premissas!$C$25*(1+Premissas!$C$27)^(13)/12</f>
        <v>954.5469137435166</v>
      </c>
      <c r="H165" s="61">
        <f t="shared" si="12"/>
        <v>26566.777188324835</v>
      </c>
      <c r="I165" s="61">
        <f t="shared" si="13"/>
        <v>25612.230274581318</v>
      </c>
      <c r="J165" s="62">
        <f t="shared" si="14"/>
        <v>2317008.8978883536</v>
      </c>
      <c r="K165" s="63">
        <f t="shared" si="16"/>
        <v>2837008.8978883531</v>
      </c>
      <c r="L165" s="64" t="str">
        <f t="shared" si="17"/>
        <v/>
      </c>
      <c r="M165" s="47">
        <f t="shared" si="15"/>
        <v>25612.230274581318</v>
      </c>
    </row>
    <row r="166" spans="1:13" ht="12.75" customHeight="1" x14ac:dyDescent="0.35">
      <c r="A166" s="65">
        <v>14</v>
      </c>
      <c r="B166" s="58" t="s">
        <v>78</v>
      </c>
      <c r="C166" s="59">
        <f>Premissas!$C$44+0.3333333333*(Premissas!$C$45-Premissas!$C$44)</f>
        <v>0.74466666666720005</v>
      </c>
      <c r="D166" s="60">
        <f>(1+Premissas!$C$26)^(13)</f>
        <v>2.7196237261644982</v>
      </c>
      <c r="E166" s="61">
        <f>Dimensionador!$C$22*(Premissas!$C$44+0.3333333333*(Premissas!$C$45-Premissas!$C$44))*Premissas!$C$21*(1+Premissas!$C$26)^(13)</f>
        <v>27872.824175987524</v>
      </c>
      <c r="F166" s="61">
        <f>Dimensionador!$C$23*(Premissas!$C$44+0.3333333333*(Premissas!$C$45-Premissas!$C$44))*Premissas!$C$20*(1+Premissas!$C$26)^(13)</f>
        <v>1353.5300567917243</v>
      </c>
      <c r="G166" s="61">
        <f>Premissas!$C$25*(1+Premissas!$C$27)^(13)/12</f>
        <v>954.5469137435166</v>
      </c>
      <c r="H166" s="61">
        <f t="shared" si="12"/>
        <v>26519.294119195798</v>
      </c>
      <c r="I166" s="61">
        <f t="shared" si="13"/>
        <v>25564.74720545228</v>
      </c>
      <c r="J166" s="62">
        <f t="shared" si="14"/>
        <v>2342573.6450938056</v>
      </c>
      <c r="K166" s="63">
        <f t="shared" si="16"/>
        <v>2862573.6450938052</v>
      </c>
      <c r="L166" s="64" t="str">
        <f t="shared" si="17"/>
        <v/>
      </c>
      <c r="M166" s="47">
        <f t="shared" si="15"/>
        <v>25564.74720545228</v>
      </c>
    </row>
    <row r="167" spans="1:13" ht="12.75" customHeight="1" x14ac:dyDescent="0.35">
      <c r="A167" s="65">
        <v>14</v>
      </c>
      <c r="B167" s="58" t="s">
        <v>79</v>
      </c>
      <c r="C167" s="59">
        <f>Premissas!$C$44+0.4166666667*(Premissas!$C$45-Premissas!$C$44)</f>
        <v>0.74333333333279994</v>
      </c>
      <c r="D167" s="60">
        <f>(1+Premissas!$C$26)^(13)</f>
        <v>2.7196237261644982</v>
      </c>
      <c r="E167" s="61">
        <f>Dimensionador!$C$22*(Premissas!$C$44+0.4166666667*(Premissas!$C$45-Premissas!$C$44))*Premissas!$C$21*(1+Premissas!$C$26)^(13)</f>
        <v>27822.917597297695</v>
      </c>
      <c r="F167" s="61">
        <f>Dimensionador!$C$23*(Premissas!$C$44+0.4166666667*(Premissas!$C$45-Premissas!$C$44))*Premissas!$C$20*(1+Premissas!$C$26)^(13)</f>
        <v>1351.1065472879216</v>
      </c>
      <c r="G167" s="61">
        <f>Premissas!$C$25*(1+Premissas!$C$27)^(13)/12</f>
        <v>954.5469137435166</v>
      </c>
      <c r="H167" s="61">
        <f t="shared" si="12"/>
        <v>26471.811050009775</v>
      </c>
      <c r="I167" s="61">
        <f t="shared" si="13"/>
        <v>25517.264136266258</v>
      </c>
      <c r="J167" s="62">
        <f t="shared" si="14"/>
        <v>2368090.9092300721</v>
      </c>
      <c r="K167" s="63">
        <f t="shared" si="16"/>
        <v>2888090.9092300716</v>
      </c>
      <c r="L167" s="64" t="str">
        <f t="shared" si="17"/>
        <v/>
      </c>
      <c r="M167" s="47">
        <f t="shared" si="15"/>
        <v>25517.264136266258</v>
      </c>
    </row>
    <row r="168" spans="1:13" ht="12.75" customHeight="1" x14ac:dyDescent="0.35">
      <c r="A168" s="65">
        <v>14</v>
      </c>
      <c r="B168" s="58" t="s">
        <v>80</v>
      </c>
      <c r="C168" s="59">
        <f>Premissas!$C$44+0.5*(Premissas!$C$45-Premissas!$C$44)</f>
        <v>0.74199999999999999</v>
      </c>
      <c r="D168" s="60">
        <f>(1+Premissas!$C$26)^(13)</f>
        <v>2.7196237261644982</v>
      </c>
      <c r="E168" s="61">
        <f>Dimensionador!$C$22*(Premissas!$C$44+0.5*(Premissas!$C$45-Premissas!$C$44))*Premissas!$C$21*(1+Premissas!$C$26)^(13)</f>
        <v>27773.011018667763</v>
      </c>
      <c r="F168" s="61">
        <f>Dimensionador!$C$23*(Premissas!$C$44+0.5*(Premissas!$C$45-Premissas!$C$44))*Premissas!$C$20*(1+Premissas!$C$26)^(13)</f>
        <v>1348.6830377870276</v>
      </c>
      <c r="G168" s="61">
        <f>Premissas!$C$25*(1+Premissas!$C$27)^(13)/12</f>
        <v>954.5469137435166</v>
      </c>
      <c r="H168" s="61">
        <f t="shared" si="12"/>
        <v>26424.327980880735</v>
      </c>
      <c r="I168" s="61">
        <f t="shared" si="13"/>
        <v>25469.781067137217</v>
      </c>
      <c r="J168" s="62">
        <f t="shared" si="14"/>
        <v>2393560.6902972092</v>
      </c>
      <c r="K168" s="63">
        <f t="shared" si="16"/>
        <v>2913560.6902972087</v>
      </c>
      <c r="L168" s="64" t="str">
        <f t="shared" si="17"/>
        <v/>
      </c>
      <c r="M168" s="47">
        <f t="shared" si="15"/>
        <v>25469.781067137217</v>
      </c>
    </row>
    <row r="169" spans="1:13" ht="12.75" customHeight="1" x14ac:dyDescent="0.35">
      <c r="A169" s="65">
        <v>14</v>
      </c>
      <c r="B169" s="58" t="s">
        <v>81</v>
      </c>
      <c r="C169" s="59">
        <f>Premissas!$C$44+0.5833333333*(Premissas!$C$45-Premissas!$C$44)</f>
        <v>0.74066666666719994</v>
      </c>
      <c r="D169" s="60">
        <f>(1+Premissas!$C$26)^(13)</f>
        <v>2.7196237261644982</v>
      </c>
      <c r="E169" s="61">
        <f>Dimensionador!$C$22*(Premissas!$C$44+0.5833333333*(Premissas!$C$45-Premissas!$C$44))*Premissas!$C$21*(1+Premissas!$C$26)^(13)</f>
        <v>27723.104440037823</v>
      </c>
      <c r="F169" s="61">
        <f>Dimensionador!$C$23*(Premissas!$C$44+0.5833333333*(Premissas!$C$45-Premissas!$C$44))*Premissas!$C$20*(1+Premissas!$C$26)^(13)</f>
        <v>1346.2595282861334</v>
      </c>
      <c r="G169" s="61">
        <f>Premissas!$C$25*(1+Premissas!$C$27)^(13)/12</f>
        <v>954.5469137435166</v>
      </c>
      <c r="H169" s="61">
        <f t="shared" si="12"/>
        <v>26376.84491175169</v>
      </c>
      <c r="I169" s="61">
        <f t="shared" si="13"/>
        <v>25422.297998008173</v>
      </c>
      <c r="J169" s="62">
        <f t="shared" si="14"/>
        <v>2418982.9882952175</v>
      </c>
      <c r="K169" s="63">
        <f t="shared" si="16"/>
        <v>2938982.988295217</v>
      </c>
      <c r="L169" s="64" t="str">
        <f t="shared" si="17"/>
        <v/>
      </c>
      <c r="M169" s="47">
        <f t="shared" si="15"/>
        <v>25422.297998008173</v>
      </c>
    </row>
    <row r="170" spans="1:13" ht="12.75" customHeight="1" x14ac:dyDescent="0.35">
      <c r="A170" s="65">
        <v>14</v>
      </c>
      <c r="B170" s="58" t="s">
        <v>82</v>
      </c>
      <c r="C170" s="59">
        <f>Premissas!$C$44+0.6666666667*(Premissas!$C$45-Premissas!$C$44)</f>
        <v>0.73933333333280005</v>
      </c>
      <c r="D170" s="60">
        <f>(1+Premissas!$C$26)^(13)</f>
        <v>2.7196237261644982</v>
      </c>
      <c r="E170" s="61">
        <f>Dimensionador!$C$22*(Premissas!$C$44+0.6666666667*(Premissas!$C$45-Premissas!$C$44))*Premissas!$C$21*(1+Premissas!$C$26)^(13)</f>
        <v>27673.197861348006</v>
      </c>
      <c r="F170" s="61">
        <f>Dimensionador!$C$23*(Premissas!$C$44+0.6666666667*(Premissas!$C$45-Premissas!$C$44))*Premissas!$C$20*(1+Premissas!$C$26)^(13)</f>
        <v>1343.8360187823314</v>
      </c>
      <c r="G170" s="61">
        <f>Premissas!$C$25*(1+Premissas!$C$27)^(13)/12</f>
        <v>954.5469137435166</v>
      </c>
      <c r="H170" s="61">
        <f t="shared" si="12"/>
        <v>26329.361842565675</v>
      </c>
      <c r="I170" s="61">
        <f t="shared" si="13"/>
        <v>25374.814928822158</v>
      </c>
      <c r="J170" s="62">
        <f t="shared" si="14"/>
        <v>2444357.8032240397</v>
      </c>
      <c r="K170" s="63">
        <f t="shared" si="16"/>
        <v>2964357.8032240393</v>
      </c>
      <c r="L170" s="64" t="str">
        <f t="shared" si="17"/>
        <v/>
      </c>
      <c r="M170" s="47">
        <f t="shared" si="15"/>
        <v>25374.814928822158</v>
      </c>
    </row>
    <row r="171" spans="1:13" ht="12.75" customHeight="1" x14ac:dyDescent="0.35">
      <c r="A171" s="65">
        <v>14</v>
      </c>
      <c r="B171" s="58" t="s">
        <v>83</v>
      </c>
      <c r="C171" s="59">
        <f>Premissas!$C$44+0.75*(Premissas!$C$45-Premissas!$C$44)</f>
        <v>0.73799999999999999</v>
      </c>
      <c r="D171" s="60">
        <f>(1+Premissas!$C$26)^(13)</f>
        <v>2.7196237261644982</v>
      </c>
      <c r="E171" s="61">
        <f>Dimensionador!$C$22*(Premissas!$C$44+0.75*(Premissas!$C$45-Premissas!$C$44))*Premissas!$C$21*(1+Premissas!$C$26)^(13)</f>
        <v>27623.29128271807</v>
      </c>
      <c r="F171" s="61">
        <f>Dimensionador!$C$23*(Premissas!$C$44+0.75*(Premissas!$C$45-Premissas!$C$44))*Premissas!$C$20*(1+Premissas!$C$26)^(13)</f>
        <v>1341.4125092814372</v>
      </c>
      <c r="G171" s="61">
        <f>Premissas!$C$25*(1+Premissas!$C$27)^(13)/12</f>
        <v>954.5469137435166</v>
      </c>
      <c r="H171" s="61">
        <f t="shared" si="12"/>
        <v>26281.878773436634</v>
      </c>
      <c r="I171" s="61">
        <f t="shared" si="13"/>
        <v>25327.331859693117</v>
      </c>
      <c r="J171" s="62">
        <f t="shared" si="14"/>
        <v>2469685.1350837327</v>
      </c>
      <c r="K171" s="63">
        <f t="shared" si="16"/>
        <v>2989685.1350837322</v>
      </c>
      <c r="L171" s="64" t="str">
        <f t="shared" si="17"/>
        <v/>
      </c>
      <c r="M171" s="47">
        <f t="shared" si="15"/>
        <v>25327.331859693117</v>
      </c>
    </row>
    <row r="172" spans="1:13" ht="12.75" customHeight="1" x14ac:dyDescent="0.35">
      <c r="A172" s="65">
        <v>14</v>
      </c>
      <c r="B172" s="58" t="s">
        <v>84</v>
      </c>
      <c r="C172" s="59">
        <f>Premissas!$C$44+0.8333333333*(Premissas!$C$45-Premissas!$C$44)</f>
        <v>0.73666666666719993</v>
      </c>
      <c r="D172" s="60">
        <f>(1+Premissas!$C$26)^(13)</f>
        <v>2.7196237261644982</v>
      </c>
      <c r="E172" s="61">
        <f>Dimensionador!$C$22*(Premissas!$C$44+0.8333333333*(Premissas!$C$45-Premissas!$C$44))*Premissas!$C$21*(1+Premissas!$C$26)^(13)</f>
        <v>27573.38470408813</v>
      </c>
      <c r="F172" s="61">
        <f>Dimensionador!$C$23*(Premissas!$C$44+0.8333333333*(Premissas!$C$45-Premissas!$C$44))*Premissas!$C$20*(1+Premissas!$C$26)^(13)</f>
        <v>1338.9889997805428</v>
      </c>
      <c r="G172" s="61">
        <f>Premissas!$C$25*(1+Premissas!$C$27)^(13)/12</f>
        <v>954.5469137435166</v>
      </c>
      <c r="H172" s="61">
        <f t="shared" si="12"/>
        <v>26234.395704307586</v>
      </c>
      <c r="I172" s="61">
        <f t="shared" si="13"/>
        <v>25279.848790564069</v>
      </c>
      <c r="J172" s="62">
        <f t="shared" si="14"/>
        <v>2494964.9838742968</v>
      </c>
      <c r="K172" s="63">
        <f t="shared" si="16"/>
        <v>3014964.9838742963</v>
      </c>
      <c r="L172" s="64" t="str">
        <f t="shared" si="17"/>
        <v/>
      </c>
      <c r="M172" s="47">
        <f t="shared" si="15"/>
        <v>25279.848790564069</v>
      </c>
    </row>
    <row r="173" spans="1:13" ht="12.75" customHeight="1" x14ac:dyDescent="0.35">
      <c r="A173" s="66">
        <v>14</v>
      </c>
      <c r="B173" s="67" t="s">
        <v>85</v>
      </c>
      <c r="C173" s="68">
        <f>Premissas!$C$44+0.9166666667*(Premissas!$C$45-Premissas!$C$44)</f>
        <v>0.73533333333280004</v>
      </c>
      <c r="D173" s="69">
        <f>(1+Premissas!$C$26)^(13)</f>
        <v>2.7196237261644982</v>
      </c>
      <c r="E173" s="70">
        <f>Dimensionador!$C$22*(Premissas!$C$44+0.9166666667*(Premissas!$C$45-Premissas!$C$44))*Premissas!$C$21*(1+Premissas!$C$26)^(13)</f>
        <v>27523.478125398313</v>
      </c>
      <c r="F173" s="70">
        <f>Dimensionador!$C$23*(Premissas!$C$44+0.9166666667*(Premissas!$C$45-Premissas!$C$44))*Premissas!$C$20*(1+Premissas!$C$26)^(13)</f>
        <v>1336.565490276741</v>
      </c>
      <c r="G173" s="70">
        <f>Premissas!$C$25*(1+Premissas!$C$27)^(13)/12</f>
        <v>954.5469137435166</v>
      </c>
      <c r="H173" s="70">
        <f t="shared" si="12"/>
        <v>26186.912635121571</v>
      </c>
      <c r="I173" s="70">
        <f t="shared" si="13"/>
        <v>25232.365721378053</v>
      </c>
      <c r="J173" s="71">
        <f t="shared" si="14"/>
        <v>2520197.3495956748</v>
      </c>
      <c r="K173" s="72">
        <f t="shared" si="16"/>
        <v>3040197.3495956743</v>
      </c>
      <c r="L173" s="73" t="str">
        <f t="shared" si="17"/>
        <v/>
      </c>
      <c r="M173" s="47">
        <f t="shared" si="15"/>
        <v>25232.365721378053</v>
      </c>
    </row>
    <row r="174" spans="1:13" ht="12.75" customHeight="1" x14ac:dyDescent="0.35">
      <c r="A174" s="39">
        <v>15</v>
      </c>
      <c r="B174" s="40" t="s">
        <v>73</v>
      </c>
      <c r="C174" s="41">
        <f>Premissas!$C$45+0*(Premissas!$C$46-Premissas!$C$45)</f>
        <v>0.73399999999999999</v>
      </c>
      <c r="D174" s="42">
        <f>(1+Premissas!$C$26)^(14)</f>
        <v>2.9371936242576586</v>
      </c>
      <c r="E174" s="43">
        <f>Dimensionador!$C$22*(Premissas!$C$45+0*(Premissas!$C$46-Premissas!$C$45))*Premissas!$C$21*(1+Premissas!$C$26)^(14)</f>
        <v>29671.457270509854</v>
      </c>
      <c r="F174" s="43">
        <f>Dimensionador!$C$23*(Premissas!$C$45+0*(Premissas!$C$46-Premissas!$C$45))*Premissas!$C$20*(1+Premissas!$C$26)^(14)</f>
        <v>1440.8733392379147</v>
      </c>
      <c r="G174" s="43">
        <f>Premissas!$C$25*(1+Premissas!$C$27)^(14)/12</f>
        <v>983.18332115582223</v>
      </c>
      <c r="H174" s="43">
        <f t="shared" si="12"/>
        <v>28230.58393127194</v>
      </c>
      <c r="I174" s="43">
        <f t="shared" si="13"/>
        <v>27247.400610116118</v>
      </c>
      <c r="J174" s="44">
        <f t="shared" si="14"/>
        <v>2547444.7502057911</v>
      </c>
      <c r="K174" s="45">
        <f t="shared" si="16"/>
        <v>3067444.7502057906</v>
      </c>
      <c r="L174" s="46" t="str">
        <f t="shared" si="17"/>
        <v/>
      </c>
      <c r="M174" s="47">
        <f t="shared" si="15"/>
        <v>27247.400610116118</v>
      </c>
    </row>
    <row r="175" spans="1:13" ht="12.75" customHeight="1" x14ac:dyDescent="0.35">
      <c r="A175" s="48">
        <v>15</v>
      </c>
      <c r="B175" s="40" t="s">
        <v>75</v>
      </c>
      <c r="C175" s="41">
        <f>Premissas!$C$45+0.0833333333*(Premissas!$C$46-Premissas!$C$45)</f>
        <v>0.73266666666720004</v>
      </c>
      <c r="D175" s="42">
        <f>(1+Premissas!$C$26)^(14)</f>
        <v>2.9371936242576586</v>
      </c>
      <c r="E175" s="43">
        <f>Dimensionador!$C$22*(Premissas!$C$45+0.0833333333*(Premissas!$C$46-Premissas!$C$45))*Premissas!$C$21*(1+Premissas!$C$26)^(14)</f>
        <v>29617.558165589526</v>
      </c>
      <c r="F175" s="43">
        <f>Dimensionador!$C$23*(Premissas!$C$45+0.0833333333*(Premissas!$C$46-Premissas!$C$45))*Premissas!$C$20*(1+Premissas!$C$26)^(14)</f>
        <v>1438.2559489769492</v>
      </c>
      <c r="G175" s="43">
        <f>Premissas!$C$25*(1+Premissas!$C$27)^(14)/12</f>
        <v>983.18332115582223</v>
      </c>
      <c r="H175" s="43">
        <f t="shared" si="12"/>
        <v>28179.302216612577</v>
      </c>
      <c r="I175" s="43">
        <f t="shared" si="13"/>
        <v>27196.118895456755</v>
      </c>
      <c r="J175" s="44">
        <f t="shared" si="14"/>
        <v>2574640.8691012478</v>
      </c>
      <c r="K175" s="45">
        <f t="shared" si="16"/>
        <v>3094640.8691012473</v>
      </c>
      <c r="L175" s="46" t="str">
        <f t="shared" si="17"/>
        <v/>
      </c>
      <c r="M175" s="47">
        <f t="shared" si="15"/>
        <v>27196.118895456755</v>
      </c>
    </row>
    <row r="176" spans="1:13" ht="12.75" customHeight="1" x14ac:dyDescent="0.35">
      <c r="A176" s="48">
        <v>15</v>
      </c>
      <c r="B176" s="40" t="s">
        <v>76</v>
      </c>
      <c r="C176" s="41">
        <f>Premissas!$C$45+0.1666666667*(Premissas!$C$46-Premissas!$C$45)</f>
        <v>0.73133333333279993</v>
      </c>
      <c r="D176" s="42">
        <f>(1+Premissas!$C$26)^(14)</f>
        <v>2.9371936242576586</v>
      </c>
      <c r="E176" s="43">
        <f>Dimensionador!$C$22*(Premissas!$C$45+0.1666666667*(Premissas!$C$46-Premissas!$C$45))*Premissas!$C$21*(1+Premissas!$C$26)^(14)</f>
        <v>29563.659060604514</v>
      </c>
      <c r="F176" s="43">
        <f>Dimensionador!$C$23*(Premissas!$C$45+0.1666666667*(Premissas!$C$46-Premissas!$C$45))*Premissas!$C$20*(1+Premissas!$C$26)^(14)</f>
        <v>1435.6385587128427</v>
      </c>
      <c r="G176" s="43">
        <f>Premissas!$C$25*(1+Premissas!$C$27)^(14)/12</f>
        <v>983.18332115582223</v>
      </c>
      <c r="H176" s="43">
        <f t="shared" si="12"/>
        <v>28128.020501891671</v>
      </c>
      <c r="I176" s="43">
        <f t="shared" si="13"/>
        <v>27144.837180735849</v>
      </c>
      <c r="J176" s="44">
        <f t="shared" si="14"/>
        <v>2601785.7062819838</v>
      </c>
      <c r="K176" s="45">
        <f t="shared" si="16"/>
        <v>3121785.7062819833</v>
      </c>
      <c r="L176" s="46" t="str">
        <f t="shared" si="17"/>
        <v/>
      </c>
      <c r="M176" s="47">
        <f t="shared" si="15"/>
        <v>27144.837180735849</v>
      </c>
    </row>
    <row r="177" spans="1:13" ht="12.75" customHeight="1" x14ac:dyDescent="0.35">
      <c r="A177" s="48">
        <v>15</v>
      </c>
      <c r="B177" s="40" t="s">
        <v>77</v>
      </c>
      <c r="C177" s="41">
        <f>Premissas!$C$45+0.25*(Premissas!$C$46-Premissas!$C$45)</f>
        <v>0.73</v>
      </c>
      <c r="D177" s="42">
        <f>(1+Premissas!$C$26)^(14)</f>
        <v>2.9371936242576586</v>
      </c>
      <c r="E177" s="43">
        <f>Dimensionador!$C$22*(Premissas!$C$45+0.25*(Premissas!$C$46-Premissas!$C$45))*Premissas!$C$21*(1+Premissas!$C$26)^(14)</f>
        <v>29509.759955684185</v>
      </c>
      <c r="F177" s="43">
        <f>Dimensionador!$C$23*(Premissas!$C$45+0.25*(Premissas!$C$46-Premissas!$C$45))*Premissas!$C$20*(1+Premissas!$C$26)^(14)</f>
        <v>1433.0211684518772</v>
      </c>
      <c r="G177" s="43">
        <f>Premissas!$C$25*(1+Premissas!$C$27)^(14)/12</f>
        <v>983.18332115582223</v>
      </c>
      <c r="H177" s="43">
        <f t="shared" si="12"/>
        <v>28076.738787232309</v>
      </c>
      <c r="I177" s="43">
        <f t="shared" si="13"/>
        <v>27093.555466076486</v>
      </c>
      <c r="J177" s="44">
        <f t="shared" si="14"/>
        <v>2628879.2617480601</v>
      </c>
      <c r="K177" s="45">
        <f t="shared" si="16"/>
        <v>3148879.2617480597</v>
      </c>
      <c r="L177" s="46" t="str">
        <f t="shared" si="17"/>
        <v/>
      </c>
      <c r="M177" s="47">
        <f t="shared" si="15"/>
        <v>27093.555466076486</v>
      </c>
    </row>
    <row r="178" spans="1:13" ht="12.75" customHeight="1" x14ac:dyDescent="0.35">
      <c r="A178" s="48">
        <v>15</v>
      </c>
      <c r="B178" s="40" t="s">
        <v>78</v>
      </c>
      <c r="C178" s="41">
        <f>Premissas!$C$45+0.3333333333*(Premissas!$C$46-Premissas!$C$45)</f>
        <v>0.72866666666720004</v>
      </c>
      <c r="D178" s="42">
        <f>(1+Premissas!$C$26)^(14)</f>
        <v>2.9371936242576586</v>
      </c>
      <c r="E178" s="43">
        <f>Dimensionador!$C$22*(Premissas!$C$45+0.3333333333*(Premissas!$C$46-Premissas!$C$45))*Premissas!$C$21*(1+Premissas!$C$26)^(14)</f>
        <v>29455.86085076386</v>
      </c>
      <c r="F178" s="43">
        <f>Dimensionador!$C$23*(Premissas!$C$45+0.3333333333*(Premissas!$C$46-Premissas!$C$45))*Premissas!$C$20*(1+Premissas!$C$26)^(14)</f>
        <v>1430.4037781909117</v>
      </c>
      <c r="G178" s="43">
        <f>Premissas!$C$25*(1+Premissas!$C$27)^(14)/12</f>
        <v>983.18332115582223</v>
      </c>
      <c r="H178" s="43">
        <f t="shared" si="12"/>
        <v>28025.45707257295</v>
      </c>
      <c r="I178" s="43">
        <f t="shared" si="13"/>
        <v>27042.273751417128</v>
      </c>
      <c r="J178" s="44">
        <f t="shared" si="14"/>
        <v>2655921.5354994773</v>
      </c>
      <c r="K178" s="45">
        <f t="shared" si="16"/>
        <v>3175921.5354994768</v>
      </c>
      <c r="L178" s="46" t="str">
        <f t="shared" si="17"/>
        <v/>
      </c>
      <c r="M178" s="47">
        <f t="shared" si="15"/>
        <v>27042.273751417128</v>
      </c>
    </row>
    <row r="179" spans="1:13" ht="12.75" customHeight="1" x14ac:dyDescent="0.35">
      <c r="A179" s="48">
        <v>15</v>
      </c>
      <c r="B179" s="40" t="s">
        <v>79</v>
      </c>
      <c r="C179" s="41">
        <f>Premissas!$C$45+0.4166666667*(Premissas!$C$46-Premissas!$C$45)</f>
        <v>0.72733333333279993</v>
      </c>
      <c r="D179" s="42">
        <f>(1+Premissas!$C$26)^(14)</f>
        <v>2.9371936242576586</v>
      </c>
      <c r="E179" s="43">
        <f>Dimensionador!$C$22*(Premissas!$C$45+0.4166666667*(Premissas!$C$46-Premissas!$C$45))*Premissas!$C$21*(1+Premissas!$C$26)^(14)</f>
        <v>29401.961745778848</v>
      </c>
      <c r="F179" s="43">
        <f>Dimensionador!$C$23*(Premissas!$C$45+0.4166666667*(Premissas!$C$46-Premissas!$C$45))*Premissas!$C$20*(1+Premissas!$C$26)^(14)</f>
        <v>1427.786387926805</v>
      </c>
      <c r="G179" s="43">
        <f>Premissas!$C$25*(1+Premissas!$C$27)^(14)/12</f>
        <v>983.18332115582223</v>
      </c>
      <c r="H179" s="43">
        <f t="shared" si="12"/>
        <v>27974.175357852044</v>
      </c>
      <c r="I179" s="43">
        <f t="shared" si="13"/>
        <v>26990.992036696221</v>
      </c>
      <c r="J179" s="44">
        <f t="shared" si="14"/>
        <v>2682912.5275361734</v>
      </c>
      <c r="K179" s="45">
        <f t="shared" si="16"/>
        <v>3202912.5275361729</v>
      </c>
      <c r="L179" s="46" t="str">
        <f t="shared" si="17"/>
        <v/>
      </c>
      <c r="M179" s="47">
        <f t="shared" si="15"/>
        <v>26990.992036696221</v>
      </c>
    </row>
    <row r="180" spans="1:13" ht="12.75" customHeight="1" x14ac:dyDescent="0.35">
      <c r="A180" s="48">
        <v>15</v>
      </c>
      <c r="B180" s="40" t="s">
        <v>80</v>
      </c>
      <c r="C180" s="41">
        <f>Premissas!$C$45+0.5*(Premissas!$C$46-Premissas!$C$45)</f>
        <v>0.72599999999999998</v>
      </c>
      <c r="D180" s="42">
        <f>(1+Premissas!$C$26)^(14)</f>
        <v>2.9371936242576586</v>
      </c>
      <c r="E180" s="43">
        <f>Dimensionador!$C$22*(Premissas!$C$45+0.5*(Premissas!$C$46-Premissas!$C$45))*Premissas!$C$21*(1+Premissas!$C$26)^(14)</f>
        <v>29348.062640858523</v>
      </c>
      <c r="F180" s="43">
        <f>Dimensionador!$C$23*(Premissas!$C$45+0.5*(Premissas!$C$46-Premissas!$C$45))*Premissas!$C$20*(1+Premissas!$C$26)^(14)</f>
        <v>1425.1689976658395</v>
      </c>
      <c r="G180" s="43">
        <f>Premissas!$C$25*(1+Premissas!$C$27)^(14)/12</f>
        <v>983.18332115582223</v>
      </c>
      <c r="H180" s="43">
        <f t="shared" si="12"/>
        <v>27922.893643192685</v>
      </c>
      <c r="I180" s="43">
        <f t="shared" si="13"/>
        <v>26939.710322036863</v>
      </c>
      <c r="J180" s="44">
        <f t="shared" si="14"/>
        <v>2709852.2378582102</v>
      </c>
      <c r="K180" s="45">
        <f t="shared" si="16"/>
        <v>3229852.2378582098</v>
      </c>
      <c r="L180" s="46" t="str">
        <f t="shared" si="17"/>
        <v/>
      </c>
      <c r="M180" s="47">
        <f t="shared" si="15"/>
        <v>26939.710322036863</v>
      </c>
    </row>
    <row r="181" spans="1:13" ht="12.75" customHeight="1" x14ac:dyDescent="0.35">
      <c r="A181" s="48">
        <v>15</v>
      </c>
      <c r="B181" s="40" t="s">
        <v>81</v>
      </c>
      <c r="C181" s="41">
        <f>Premissas!$C$45+0.5833333333*(Premissas!$C$46-Premissas!$C$45)</f>
        <v>0.72466666666719992</v>
      </c>
      <c r="D181" s="42">
        <f>(1+Premissas!$C$26)^(14)</f>
        <v>2.9371936242576586</v>
      </c>
      <c r="E181" s="43">
        <f>Dimensionador!$C$22*(Premissas!$C$45+0.5833333333*(Premissas!$C$46-Premissas!$C$45))*Premissas!$C$21*(1+Premissas!$C$26)^(14)</f>
        <v>29294.163535938187</v>
      </c>
      <c r="F181" s="43">
        <f>Dimensionador!$C$23*(Premissas!$C$45+0.5833333333*(Premissas!$C$46-Premissas!$C$45))*Premissas!$C$20*(1+Premissas!$C$26)^(14)</f>
        <v>1422.5516074048737</v>
      </c>
      <c r="G181" s="43">
        <f>Premissas!$C$25*(1+Premissas!$C$27)^(14)/12</f>
        <v>983.18332115582223</v>
      </c>
      <c r="H181" s="43">
        <f t="shared" si="12"/>
        <v>27871.611928533312</v>
      </c>
      <c r="I181" s="43">
        <f t="shared" si="13"/>
        <v>26888.428607377489</v>
      </c>
      <c r="J181" s="44">
        <f t="shared" si="14"/>
        <v>2736740.6664655879</v>
      </c>
      <c r="K181" s="45">
        <f t="shared" si="16"/>
        <v>3256740.6664655874</v>
      </c>
      <c r="L181" s="46" t="str">
        <f t="shared" si="17"/>
        <v/>
      </c>
      <c r="M181" s="47">
        <f t="shared" si="15"/>
        <v>26888.428607377489</v>
      </c>
    </row>
    <row r="182" spans="1:13" ht="12.75" customHeight="1" x14ac:dyDescent="0.35">
      <c r="A182" s="48">
        <v>15</v>
      </c>
      <c r="B182" s="40" t="s">
        <v>82</v>
      </c>
      <c r="C182" s="41">
        <f>Premissas!$C$45+0.6666666667*(Premissas!$C$46-Premissas!$C$45)</f>
        <v>0.72333333333280003</v>
      </c>
      <c r="D182" s="42">
        <f>(1+Premissas!$C$26)^(14)</f>
        <v>2.9371936242576586</v>
      </c>
      <c r="E182" s="43">
        <f>Dimensionador!$C$22*(Premissas!$C$45+0.6666666667*(Premissas!$C$46-Premissas!$C$45))*Premissas!$C$21*(1+Premissas!$C$26)^(14)</f>
        <v>29240.26443095319</v>
      </c>
      <c r="F182" s="43">
        <f>Dimensionador!$C$23*(Premissas!$C$45+0.6666666667*(Premissas!$C$46-Premissas!$C$45))*Premissas!$C$20*(1+Premissas!$C$26)^(14)</f>
        <v>1419.9342171407673</v>
      </c>
      <c r="G182" s="43">
        <f>Premissas!$C$25*(1+Premissas!$C$27)^(14)/12</f>
        <v>983.18332115582223</v>
      </c>
      <c r="H182" s="43">
        <f t="shared" si="12"/>
        <v>27820.330213812424</v>
      </c>
      <c r="I182" s="43">
        <f t="shared" si="13"/>
        <v>26837.146892656601</v>
      </c>
      <c r="J182" s="44">
        <f t="shared" si="14"/>
        <v>2763577.8133582445</v>
      </c>
      <c r="K182" s="45">
        <f t="shared" si="16"/>
        <v>3283577.813358244</v>
      </c>
      <c r="L182" s="46" t="str">
        <f t="shared" si="17"/>
        <v/>
      </c>
      <c r="M182" s="47">
        <f t="shared" si="15"/>
        <v>26837.146892656601</v>
      </c>
    </row>
    <row r="183" spans="1:13" ht="12.75" customHeight="1" x14ac:dyDescent="0.35">
      <c r="A183" s="48">
        <v>15</v>
      </c>
      <c r="B183" s="40" t="s">
        <v>83</v>
      </c>
      <c r="C183" s="41">
        <f>Premissas!$C$45+0.75*(Premissas!$C$46-Premissas!$C$45)</f>
        <v>0.72199999999999998</v>
      </c>
      <c r="D183" s="42">
        <f>(1+Premissas!$C$26)^(14)</f>
        <v>2.9371936242576586</v>
      </c>
      <c r="E183" s="43">
        <f>Dimensionador!$C$22*(Premissas!$C$45+0.75*(Premissas!$C$46-Premissas!$C$45))*Premissas!$C$21*(1+Premissas!$C$26)^(14)</f>
        <v>29186.365326032854</v>
      </c>
      <c r="F183" s="43">
        <f>Dimensionador!$C$23*(Premissas!$C$45+0.75*(Premissas!$C$46-Premissas!$C$45))*Premissas!$C$20*(1+Premissas!$C$26)^(14)</f>
        <v>1417.3168268798015</v>
      </c>
      <c r="G183" s="43">
        <f>Premissas!$C$25*(1+Premissas!$C$27)^(14)/12</f>
        <v>983.18332115582223</v>
      </c>
      <c r="H183" s="43">
        <f t="shared" si="12"/>
        <v>27769.048499153054</v>
      </c>
      <c r="I183" s="43">
        <f t="shared" si="13"/>
        <v>26785.865177997232</v>
      </c>
      <c r="J183" s="44">
        <f t="shared" si="14"/>
        <v>2790363.6785362419</v>
      </c>
      <c r="K183" s="45">
        <f t="shared" si="16"/>
        <v>3310363.6785362414</v>
      </c>
      <c r="L183" s="46" t="str">
        <f t="shared" si="17"/>
        <v/>
      </c>
      <c r="M183" s="47">
        <f t="shared" si="15"/>
        <v>26785.865177997232</v>
      </c>
    </row>
    <row r="184" spans="1:13" ht="12.75" customHeight="1" x14ac:dyDescent="0.35">
      <c r="A184" s="48">
        <v>15</v>
      </c>
      <c r="B184" s="40" t="s">
        <v>84</v>
      </c>
      <c r="C184" s="41">
        <f>Premissas!$C$45+0.8333333333*(Premissas!$C$46-Premissas!$C$45)</f>
        <v>0.72066666666719992</v>
      </c>
      <c r="D184" s="42">
        <f>(1+Premissas!$C$26)^(14)</f>
        <v>2.9371936242576586</v>
      </c>
      <c r="E184" s="43">
        <f>Dimensionador!$C$22*(Premissas!$C$45+0.8333333333*(Premissas!$C$46-Premissas!$C$45))*Premissas!$C$21*(1+Premissas!$C$26)^(14)</f>
        <v>29132.466221112521</v>
      </c>
      <c r="F184" s="43">
        <f>Dimensionador!$C$23*(Premissas!$C$45+0.8333333333*(Premissas!$C$46-Premissas!$C$45))*Premissas!$C$20*(1+Premissas!$C$26)^(14)</f>
        <v>1414.699436618836</v>
      </c>
      <c r="G184" s="43">
        <f>Premissas!$C$25*(1+Premissas!$C$27)^(14)/12</f>
        <v>983.18332115582223</v>
      </c>
      <c r="H184" s="43">
        <f t="shared" si="12"/>
        <v>27717.766784493684</v>
      </c>
      <c r="I184" s="43">
        <f t="shared" si="13"/>
        <v>26734.583463337862</v>
      </c>
      <c r="J184" s="44">
        <f t="shared" si="14"/>
        <v>2817098.2619995796</v>
      </c>
      <c r="K184" s="45">
        <f t="shared" si="16"/>
        <v>3337098.2619995791</v>
      </c>
      <c r="L184" s="46" t="str">
        <f t="shared" si="17"/>
        <v/>
      </c>
      <c r="M184" s="47">
        <f t="shared" si="15"/>
        <v>26734.583463337862</v>
      </c>
    </row>
    <row r="185" spans="1:13" ht="12.75" customHeight="1" x14ac:dyDescent="0.35">
      <c r="A185" s="49">
        <v>15</v>
      </c>
      <c r="B185" s="50" t="s">
        <v>85</v>
      </c>
      <c r="C185" s="51">
        <f>Premissas!$C$45+0.9166666667*(Premissas!$C$46-Premissas!$C$45)</f>
        <v>0.71933333333280003</v>
      </c>
      <c r="D185" s="52">
        <f>(1+Premissas!$C$26)^(14)</f>
        <v>2.9371936242576586</v>
      </c>
      <c r="E185" s="53">
        <f>Dimensionador!$C$22*(Premissas!$C$45+0.9166666667*(Premissas!$C$46-Premissas!$C$45))*Premissas!$C$21*(1+Premissas!$C$26)^(14)</f>
        <v>29078.56711612752</v>
      </c>
      <c r="F185" s="53">
        <f>Dimensionador!$C$23*(Premissas!$C$45+0.9166666667*(Premissas!$C$46-Premissas!$C$45))*Premissas!$C$20*(1+Premissas!$C$26)^(14)</f>
        <v>1412.0820463547298</v>
      </c>
      <c r="G185" s="53">
        <f>Premissas!$C$25*(1+Premissas!$C$27)^(14)/12</f>
        <v>983.18332115582223</v>
      </c>
      <c r="H185" s="53">
        <f t="shared" si="12"/>
        <v>27666.485069772789</v>
      </c>
      <c r="I185" s="53">
        <f t="shared" si="13"/>
        <v>26683.301748616967</v>
      </c>
      <c r="J185" s="54">
        <f t="shared" si="14"/>
        <v>2843781.5637481967</v>
      </c>
      <c r="K185" s="55">
        <f t="shared" si="16"/>
        <v>3363781.5637481962</v>
      </c>
      <c r="L185" s="56" t="str">
        <f t="shared" si="17"/>
        <v/>
      </c>
      <c r="M185" s="47">
        <f t="shared" si="15"/>
        <v>26683.301748616967</v>
      </c>
    </row>
    <row r="186" spans="1:13" ht="12.75" customHeight="1" x14ac:dyDescent="0.35">
      <c r="A186" s="57">
        <v>16</v>
      </c>
      <c r="B186" s="58" t="s">
        <v>73</v>
      </c>
      <c r="C186" s="59">
        <f>Premissas!$C$46+0*(Premissas!$C$47-Premissas!$C$46)</f>
        <v>0.71799999999999997</v>
      </c>
      <c r="D186" s="60">
        <f>(1+Premissas!$C$26)^(15)</f>
        <v>3.1721691141982715</v>
      </c>
      <c r="E186" s="61">
        <f>Dimensionador!$C$22*(Premissas!$C$46+0*(Premissas!$C$47-Premissas!$C$46))*Premissas!$C$21*(1+Premissas!$C$26)^(15)</f>
        <v>31346.641452103762</v>
      </c>
      <c r="F186" s="61">
        <f>Dimensionador!$C$23*(Premissas!$C$46+0*(Premissas!$C$47-Premissas!$C$46))*Premissas!$C$20*(1+Premissas!$C$26)^(15)</f>
        <v>1522.2218285812653</v>
      </c>
      <c r="G186" s="61">
        <f>Premissas!$C$25*(1+Premissas!$C$27)^(15)/12</f>
        <v>1012.6788207904968</v>
      </c>
      <c r="H186" s="61">
        <f t="shared" si="12"/>
        <v>29824.419623522495</v>
      </c>
      <c r="I186" s="61">
        <f t="shared" si="13"/>
        <v>28811.740802731998</v>
      </c>
      <c r="J186" s="62">
        <f t="shared" si="14"/>
        <v>2872593.3045509285</v>
      </c>
      <c r="K186" s="63">
        <f t="shared" si="16"/>
        <v>3392593.3045509281</v>
      </c>
      <c r="L186" s="64" t="str">
        <f t="shared" si="17"/>
        <v/>
      </c>
      <c r="M186" s="47">
        <f t="shared" si="15"/>
        <v>28811.740802731998</v>
      </c>
    </row>
    <row r="187" spans="1:13" ht="12.75" customHeight="1" x14ac:dyDescent="0.35">
      <c r="A187" s="65">
        <v>16</v>
      </c>
      <c r="B187" s="58" t="s">
        <v>75</v>
      </c>
      <c r="C187" s="59">
        <f>Premissas!$C$46+0.0833333333*(Premissas!$C$47-Premissas!$C$46)</f>
        <v>0.71675000000049993</v>
      </c>
      <c r="D187" s="60">
        <f>(1+Premissas!$C$26)^(15)</f>
        <v>3.1721691141982715</v>
      </c>
      <c r="E187" s="61">
        <f>Dimensionador!$C$22*(Premissas!$C$46+0.0833333333*(Premissas!$C$47-Premissas!$C$46))*Premissas!$C$21*(1+Premissas!$C$26)^(15)</f>
        <v>31292.068608371927</v>
      </c>
      <c r="F187" s="61">
        <f>Dimensionador!$C$23*(Premissas!$C$46+0.0833333333*(Premissas!$C$47-Premissas!$C$46))*Premissas!$C$20*(1+Premissas!$C$26)^(15)</f>
        <v>1519.5717209420375</v>
      </c>
      <c r="G187" s="61">
        <f>Premissas!$C$25*(1+Premissas!$C$27)^(15)/12</f>
        <v>1012.6788207904968</v>
      </c>
      <c r="H187" s="61">
        <f t="shared" si="12"/>
        <v>29772.49688742989</v>
      </c>
      <c r="I187" s="61">
        <f t="shared" si="13"/>
        <v>28759.818066639393</v>
      </c>
      <c r="J187" s="62">
        <f t="shared" si="14"/>
        <v>2901353.1226175679</v>
      </c>
      <c r="K187" s="63">
        <f t="shared" si="16"/>
        <v>3421353.1226175674</v>
      </c>
      <c r="L187" s="64" t="str">
        <f t="shared" si="17"/>
        <v/>
      </c>
      <c r="M187" s="47">
        <f t="shared" si="15"/>
        <v>28759.818066639393</v>
      </c>
    </row>
    <row r="188" spans="1:13" ht="12.75" customHeight="1" x14ac:dyDescent="0.35">
      <c r="A188" s="65">
        <v>16</v>
      </c>
      <c r="B188" s="58" t="s">
        <v>76</v>
      </c>
      <c r="C188" s="59">
        <f>Premissas!$C$46+0.1666666667*(Premissas!$C$47-Premissas!$C$46)</f>
        <v>0.71549999999949998</v>
      </c>
      <c r="D188" s="60">
        <f>(1+Premissas!$C$26)^(15)</f>
        <v>3.1721691141982715</v>
      </c>
      <c r="E188" s="61">
        <f>Dimensionador!$C$22*(Premissas!$C$46+0.1666666667*(Premissas!$C$47-Premissas!$C$46))*Premissas!$C$21*(1+Premissas!$C$26)^(15)</f>
        <v>31237.495764574611</v>
      </c>
      <c r="F188" s="61">
        <f>Dimensionador!$C$23*(Premissas!$C$46+0.1666666667*(Premissas!$C$47-Premissas!$C$46))*Premissas!$C$20*(1+Premissas!$C$26)^(15)</f>
        <v>1516.9216132996296</v>
      </c>
      <c r="G188" s="61">
        <f>Premissas!$C$25*(1+Premissas!$C$27)^(15)/12</f>
        <v>1012.6788207904968</v>
      </c>
      <c r="H188" s="61">
        <f t="shared" si="12"/>
        <v>29720.574151274981</v>
      </c>
      <c r="I188" s="61">
        <f t="shared" si="13"/>
        <v>28707.895330484484</v>
      </c>
      <c r="J188" s="62">
        <f t="shared" si="14"/>
        <v>2930061.0179480524</v>
      </c>
      <c r="K188" s="63">
        <f t="shared" si="16"/>
        <v>3450061.0179480519</v>
      </c>
      <c r="L188" s="64" t="str">
        <f t="shared" si="17"/>
        <v/>
      </c>
      <c r="M188" s="47">
        <f t="shared" si="15"/>
        <v>28707.895330484484</v>
      </c>
    </row>
    <row r="189" spans="1:13" ht="12.75" customHeight="1" x14ac:dyDescent="0.35">
      <c r="A189" s="65">
        <v>16</v>
      </c>
      <c r="B189" s="58" t="s">
        <v>77</v>
      </c>
      <c r="C189" s="59">
        <f>Premissas!$C$46+0.25*(Premissas!$C$47-Premissas!$C$46)</f>
        <v>0.71424999999999994</v>
      </c>
      <c r="D189" s="60">
        <f>(1+Premissas!$C$26)^(15)</f>
        <v>3.1721691141982715</v>
      </c>
      <c r="E189" s="61">
        <f>Dimensionador!$C$22*(Premissas!$C$46+0.25*(Premissas!$C$47-Premissas!$C$46))*Premissas!$C$21*(1+Premissas!$C$26)^(15)</f>
        <v>31182.922920842771</v>
      </c>
      <c r="F189" s="61">
        <f>Dimensionador!$C$23*(Premissas!$C$46+0.25*(Premissas!$C$47-Premissas!$C$46))*Premissas!$C$20*(1+Premissas!$C$26)^(15)</f>
        <v>1514.271505660402</v>
      </c>
      <c r="G189" s="61">
        <f>Premissas!$C$25*(1+Premissas!$C$27)^(15)/12</f>
        <v>1012.6788207904968</v>
      </c>
      <c r="H189" s="61">
        <f t="shared" si="12"/>
        <v>29668.651415182369</v>
      </c>
      <c r="I189" s="61">
        <f t="shared" si="13"/>
        <v>28655.972594391871</v>
      </c>
      <c r="J189" s="62">
        <f t="shared" si="14"/>
        <v>2958716.9905424444</v>
      </c>
      <c r="K189" s="63">
        <f t="shared" si="16"/>
        <v>3478716.9905424439</v>
      </c>
      <c r="L189" s="64" t="str">
        <f t="shared" si="17"/>
        <v/>
      </c>
      <c r="M189" s="47">
        <f t="shared" si="15"/>
        <v>28655.972594391871</v>
      </c>
    </row>
    <row r="190" spans="1:13" ht="12.75" customHeight="1" x14ac:dyDescent="0.35">
      <c r="A190" s="65">
        <v>16</v>
      </c>
      <c r="B190" s="58" t="s">
        <v>78</v>
      </c>
      <c r="C190" s="59">
        <f>Premissas!$C$46+0.3333333333*(Premissas!$C$47-Premissas!$C$46)</f>
        <v>0.71300000000050001</v>
      </c>
      <c r="D190" s="60">
        <f>(1+Premissas!$C$26)^(15)</f>
        <v>3.1721691141982715</v>
      </c>
      <c r="E190" s="61">
        <f>Dimensionador!$C$22*(Premissas!$C$46+0.3333333333*(Premissas!$C$47-Premissas!$C$46))*Premissas!$C$21*(1+Premissas!$C$26)^(15)</f>
        <v>31128.350077110943</v>
      </c>
      <c r="F190" s="61">
        <f>Dimensionador!$C$23*(Premissas!$C$46+0.3333333333*(Premissas!$C$47-Premissas!$C$46))*Premissas!$C$20*(1+Premissas!$C$26)^(15)</f>
        <v>1511.6213980211744</v>
      </c>
      <c r="G190" s="61">
        <f>Premissas!$C$25*(1+Premissas!$C$27)^(15)/12</f>
        <v>1012.6788207904968</v>
      </c>
      <c r="H190" s="61">
        <f t="shared" si="12"/>
        <v>29616.728679089767</v>
      </c>
      <c r="I190" s="61">
        <f t="shared" si="13"/>
        <v>28604.04985829927</v>
      </c>
      <c r="J190" s="62">
        <f t="shared" si="14"/>
        <v>2987321.0404007435</v>
      </c>
      <c r="K190" s="63">
        <f t="shared" si="16"/>
        <v>3507321.040400743</v>
      </c>
      <c r="L190" s="64" t="str">
        <f t="shared" si="17"/>
        <v/>
      </c>
      <c r="M190" s="47">
        <f t="shared" si="15"/>
        <v>28604.04985829927</v>
      </c>
    </row>
    <row r="191" spans="1:13" ht="12.75" customHeight="1" x14ac:dyDescent="0.35">
      <c r="A191" s="65">
        <v>16</v>
      </c>
      <c r="B191" s="58" t="s">
        <v>79</v>
      </c>
      <c r="C191" s="59">
        <f>Premissas!$C$46+0.4166666667*(Premissas!$C$47-Premissas!$C$46)</f>
        <v>0.71174999999949995</v>
      </c>
      <c r="D191" s="60">
        <f>(1+Premissas!$C$26)^(15)</f>
        <v>3.1721691141982715</v>
      </c>
      <c r="E191" s="61">
        <f>Dimensionador!$C$22*(Premissas!$C$46+0.4166666667*(Premissas!$C$47-Premissas!$C$46))*Premissas!$C$21*(1+Premissas!$C$26)^(15)</f>
        <v>31073.77723331362</v>
      </c>
      <c r="F191" s="61">
        <f>Dimensionador!$C$23*(Premissas!$C$46+0.4166666667*(Premissas!$C$47-Premissas!$C$46))*Premissas!$C$20*(1+Premissas!$C$26)^(15)</f>
        <v>1508.9712903787665</v>
      </c>
      <c r="G191" s="61">
        <f>Premissas!$C$25*(1+Premissas!$C$27)^(15)/12</f>
        <v>1012.6788207904968</v>
      </c>
      <c r="H191" s="61">
        <f t="shared" si="12"/>
        <v>29564.805942934854</v>
      </c>
      <c r="I191" s="61">
        <f t="shared" si="13"/>
        <v>28552.127122144357</v>
      </c>
      <c r="J191" s="62">
        <f t="shared" si="14"/>
        <v>3015873.1675228877</v>
      </c>
      <c r="K191" s="63">
        <f t="shared" si="16"/>
        <v>3535873.1675228872</v>
      </c>
      <c r="L191" s="64" t="str">
        <f t="shared" si="17"/>
        <v/>
      </c>
      <c r="M191" s="47">
        <f t="shared" si="15"/>
        <v>28552.127122144357</v>
      </c>
    </row>
    <row r="192" spans="1:13" ht="12.75" customHeight="1" x14ac:dyDescent="0.35">
      <c r="A192" s="65">
        <v>16</v>
      </c>
      <c r="B192" s="58" t="s">
        <v>80</v>
      </c>
      <c r="C192" s="59">
        <f>Premissas!$C$46+0.5*(Premissas!$C$47-Premissas!$C$46)</f>
        <v>0.71049999999999991</v>
      </c>
      <c r="D192" s="60">
        <f>(1+Premissas!$C$26)^(15)</f>
        <v>3.1721691141982715</v>
      </c>
      <c r="E192" s="61">
        <f>Dimensionador!$C$22*(Premissas!$C$46+0.5*(Premissas!$C$47-Premissas!$C$46))*Premissas!$C$21*(1+Premissas!$C$26)^(15)</f>
        <v>31019.204389581788</v>
      </c>
      <c r="F192" s="61">
        <f>Dimensionador!$C$23*(Premissas!$C$46+0.5*(Premissas!$C$47-Premissas!$C$46))*Premissas!$C$20*(1+Premissas!$C$26)^(15)</f>
        <v>1506.3211827395389</v>
      </c>
      <c r="G192" s="61">
        <f>Premissas!$C$25*(1+Premissas!$C$27)^(15)/12</f>
        <v>1012.6788207904968</v>
      </c>
      <c r="H192" s="61">
        <f t="shared" si="12"/>
        <v>29512.883206842249</v>
      </c>
      <c r="I192" s="61">
        <f t="shared" si="13"/>
        <v>28500.204386051751</v>
      </c>
      <c r="J192" s="62">
        <f t="shared" si="14"/>
        <v>3044373.3719089394</v>
      </c>
      <c r="K192" s="63">
        <f t="shared" si="16"/>
        <v>3564373.371908939</v>
      </c>
      <c r="L192" s="64" t="str">
        <f t="shared" si="17"/>
        <v/>
      </c>
      <c r="M192" s="47">
        <f t="shared" si="15"/>
        <v>28500.204386051751</v>
      </c>
    </row>
    <row r="193" spans="1:13" ht="12.75" customHeight="1" x14ac:dyDescent="0.35">
      <c r="A193" s="65">
        <v>16</v>
      </c>
      <c r="B193" s="58" t="s">
        <v>81</v>
      </c>
      <c r="C193" s="59">
        <f>Premissas!$C$46+0.5833333333*(Premissas!$C$47-Premissas!$C$46)</f>
        <v>0.70925000000049998</v>
      </c>
      <c r="D193" s="60">
        <f>(1+Premissas!$C$26)^(15)</f>
        <v>3.1721691141982715</v>
      </c>
      <c r="E193" s="61">
        <f>Dimensionador!$C$22*(Premissas!$C$46+0.5833333333*(Premissas!$C$47-Premissas!$C$46))*Premissas!$C$21*(1+Premissas!$C$26)^(15)</f>
        <v>30964.631545849952</v>
      </c>
      <c r="F193" s="61">
        <f>Dimensionador!$C$23*(Premissas!$C$46+0.5833333333*(Premissas!$C$47-Premissas!$C$46))*Premissas!$C$20*(1+Premissas!$C$26)^(15)</f>
        <v>1503.6710751003111</v>
      </c>
      <c r="G193" s="61">
        <f>Premissas!$C$25*(1+Premissas!$C$27)^(15)/12</f>
        <v>1012.6788207904968</v>
      </c>
      <c r="H193" s="61">
        <f t="shared" si="12"/>
        <v>29460.96047074964</v>
      </c>
      <c r="I193" s="61">
        <f t="shared" si="13"/>
        <v>28448.281649959143</v>
      </c>
      <c r="J193" s="62">
        <f t="shared" si="14"/>
        <v>3072821.6535588987</v>
      </c>
      <c r="K193" s="63">
        <f t="shared" si="16"/>
        <v>3592821.6535588983</v>
      </c>
      <c r="L193" s="64" t="str">
        <f t="shared" si="17"/>
        <v/>
      </c>
      <c r="M193" s="47">
        <f t="shared" si="15"/>
        <v>28448.281649959143</v>
      </c>
    </row>
    <row r="194" spans="1:13" ht="12.75" customHeight="1" x14ac:dyDescent="0.35">
      <c r="A194" s="65">
        <v>16</v>
      </c>
      <c r="B194" s="58" t="s">
        <v>82</v>
      </c>
      <c r="C194" s="59">
        <f>Premissas!$C$46+0.6666666667*(Premissas!$C$47-Premissas!$C$46)</f>
        <v>0.70799999999949992</v>
      </c>
      <c r="D194" s="60">
        <f>(1+Premissas!$C$26)^(15)</f>
        <v>3.1721691141982715</v>
      </c>
      <c r="E194" s="61">
        <f>Dimensionador!$C$22*(Premissas!$C$46+0.6666666667*(Premissas!$C$47-Premissas!$C$46))*Premissas!$C$21*(1+Premissas!$C$26)^(15)</f>
        <v>30910.058702052629</v>
      </c>
      <c r="F194" s="61">
        <f>Dimensionador!$C$23*(Premissas!$C$46+0.6666666667*(Premissas!$C$47-Premissas!$C$46))*Premissas!$C$20*(1+Premissas!$C$26)^(15)</f>
        <v>1501.0209674579032</v>
      </c>
      <c r="G194" s="61">
        <f>Premissas!$C$25*(1+Premissas!$C$27)^(15)/12</f>
        <v>1012.6788207904968</v>
      </c>
      <c r="H194" s="61">
        <f t="shared" si="12"/>
        <v>29409.037734594727</v>
      </c>
      <c r="I194" s="61">
        <f t="shared" si="13"/>
        <v>28396.35891380423</v>
      </c>
      <c r="J194" s="62">
        <f t="shared" si="14"/>
        <v>3101218.0124727031</v>
      </c>
      <c r="K194" s="63">
        <f t="shared" si="16"/>
        <v>3621218.0124727027</v>
      </c>
      <c r="L194" s="64" t="str">
        <f t="shared" si="17"/>
        <v/>
      </c>
      <c r="M194" s="47">
        <f t="shared" si="15"/>
        <v>28396.35891380423</v>
      </c>
    </row>
    <row r="195" spans="1:13" ht="12.75" customHeight="1" x14ac:dyDescent="0.35">
      <c r="A195" s="65">
        <v>16</v>
      </c>
      <c r="B195" s="58" t="s">
        <v>83</v>
      </c>
      <c r="C195" s="59">
        <f>Premissas!$C$46+0.75*(Premissas!$C$47-Premissas!$C$46)</f>
        <v>0.70674999999999999</v>
      </c>
      <c r="D195" s="60">
        <f>(1+Premissas!$C$26)^(15)</f>
        <v>3.1721691141982715</v>
      </c>
      <c r="E195" s="61">
        <f>Dimensionador!$C$22*(Premissas!$C$46+0.75*(Premissas!$C$47-Premissas!$C$46))*Premissas!$C$21*(1+Premissas!$C$26)^(15)</f>
        <v>30855.485858320804</v>
      </c>
      <c r="F195" s="61">
        <f>Dimensionador!$C$23*(Premissas!$C$46+0.75*(Premissas!$C$47-Premissas!$C$46))*Premissas!$C$20*(1+Premissas!$C$26)^(15)</f>
        <v>1498.3708598186759</v>
      </c>
      <c r="G195" s="61">
        <f>Premissas!$C$25*(1+Premissas!$C$27)^(15)/12</f>
        <v>1012.6788207904968</v>
      </c>
      <c r="H195" s="61">
        <f t="shared" si="12"/>
        <v>29357.114998502129</v>
      </c>
      <c r="I195" s="61">
        <f t="shared" si="13"/>
        <v>28344.436177711632</v>
      </c>
      <c r="J195" s="62">
        <f t="shared" si="14"/>
        <v>3129562.4486504146</v>
      </c>
      <c r="K195" s="63">
        <f t="shared" si="16"/>
        <v>3649562.4486504141</v>
      </c>
      <c r="L195" s="64" t="str">
        <f t="shared" si="17"/>
        <v/>
      </c>
      <c r="M195" s="47">
        <f t="shared" si="15"/>
        <v>28344.436177711632</v>
      </c>
    </row>
    <row r="196" spans="1:13" ht="12.75" customHeight="1" x14ac:dyDescent="0.35">
      <c r="A196" s="65">
        <v>16</v>
      </c>
      <c r="B196" s="58" t="s">
        <v>84</v>
      </c>
      <c r="C196" s="59">
        <f>Premissas!$C$46+0.8333333333*(Premissas!$C$47-Premissas!$C$46)</f>
        <v>0.70550000000049995</v>
      </c>
      <c r="D196" s="60">
        <f>(1+Premissas!$C$26)^(15)</f>
        <v>3.1721691141982715</v>
      </c>
      <c r="E196" s="61">
        <f>Dimensionador!$C$22*(Premissas!$C$46+0.8333333333*(Premissas!$C$47-Premissas!$C$46))*Premissas!$C$21*(1+Premissas!$C$26)^(15)</f>
        <v>30800.913014588965</v>
      </c>
      <c r="F196" s="61">
        <f>Dimensionador!$C$23*(Premissas!$C$46+0.8333333333*(Premissas!$C$47-Premissas!$C$46))*Premissas!$C$20*(1+Premissas!$C$26)^(15)</f>
        <v>1495.720752179448</v>
      </c>
      <c r="G196" s="61">
        <f>Premissas!$C$25*(1+Premissas!$C$27)^(15)/12</f>
        <v>1012.6788207904968</v>
      </c>
      <c r="H196" s="61">
        <f t="shared" si="12"/>
        <v>29305.192262409517</v>
      </c>
      <c r="I196" s="61">
        <f t="shared" si="13"/>
        <v>28292.513441619019</v>
      </c>
      <c r="J196" s="62">
        <f t="shared" si="14"/>
        <v>3157854.9620920336</v>
      </c>
      <c r="K196" s="63">
        <f t="shared" si="16"/>
        <v>3677854.9620920331</v>
      </c>
      <c r="L196" s="64" t="str">
        <f t="shared" si="17"/>
        <v/>
      </c>
      <c r="M196" s="47">
        <f t="shared" si="15"/>
        <v>28292.513441619019</v>
      </c>
    </row>
    <row r="197" spans="1:13" ht="12.75" customHeight="1" x14ac:dyDescent="0.35">
      <c r="A197" s="66">
        <v>16</v>
      </c>
      <c r="B197" s="67" t="s">
        <v>85</v>
      </c>
      <c r="C197" s="68">
        <f>Premissas!$C$46+0.9166666667*(Premissas!$C$47-Premissas!$C$46)</f>
        <v>0.7042499999995</v>
      </c>
      <c r="D197" s="69">
        <f>(1+Premissas!$C$26)^(15)</f>
        <v>3.1721691141982715</v>
      </c>
      <c r="E197" s="70">
        <f>Dimensionador!$C$22*(Premissas!$C$46+0.9166666667*(Premissas!$C$47-Premissas!$C$46))*Premissas!$C$21*(1+Premissas!$C$26)^(15)</f>
        <v>30746.340170791646</v>
      </c>
      <c r="F197" s="70">
        <f>Dimensionador!$C$23*(Premissas!$C$46+0.9166666667*(Premissas!$C$47-Premissas!$C$46))*Premissas!$C$20*(1+Premissas!$C$26)^(15)</f>
        <v>1493.0706445370404</v>
      </c>
      <c r="G197" s="70">
        <f>Premissas!$C$25*(1+Premissas!$C$27)^(15)/12</f>
        <v>1012.6788207904968</v>
      </c>
      <c r="H197" s="70">
        <f t="shared" si="12"/>
        <v>29253.269526254604</v>
      </c>
      <c r="I197" s="70">
        <f t="shared" si="13"/>
        <v>28240.590705464107</v>
      </c>
      <c r="J197" s="71">
        <f t="shared" si="14"/>
        <v>3186095.5527974977</v>
      </c>
      <c r="K197" s="72">
        <f t="shared" si="16"/>
        <v>3706095.5527974973</v>
      </c>
      <c r="L197" s="73" t="str">
        <f t="shared" si="17"/>
        <v/>
      </c>
      <c r="M197" s="47">
        <f t="shared" si="15"/>
        <v>28240.590705464107</v>
      </c>
    </row>
    <row r="198" spans="1:13" ht="12.75" customHeight="1" x14ac:dyDescent="0.35">
      <c r="A198" s="39">
        <v>17</v>
      </c>
      <c r="B198" s="40" t="s">
        <v>73</v>
      </c>
      <c r="C198" s="41">
        <f>Premissas!$C$47+0*(Premissas!$C$48-Premissas!$C$47)</f>
        <v>0.70299999999999996</v>
      </c>
      <c r="D198" s="42">
        <f>(1+Premissas!$C$26)^(16)</f>
        <v>3.4259426433341331</v>
      </c>
      <c r="E198" s="43">
        <f>Dimensionador!$C$22*(Premissas!$C$47+0*(Premissas!$C$48-Premissas!$C$47))*Premissas!$C$21*(1+Premissas!$C$26)^(16)</f>
        <v>33147.108713224596</v>
      </c>
      <c r="F198" s="43">
        <f>Dimensionador!$C$23*(Premissas!$C$47+0*(Premissas!$C$48-Premissas!$C$47))*Premissas!$C$20*(1+Premissas!$C$26)^(16)</f>
        <v>1609.6541798496376</v>
      </c>
      <c r="G198" s="43">
        <f>Premissas!$C$25*(1+Premissas!$C$27)^(16)/12</f>
        <v>1043.0591854142115</v>
      </c>
      <c r="H198" s="43">
        <f t="shared" ref="H198:H245" si="18">E198-F198</f>
        <v>31537.454533374959</v>
      </c>
      <c r="I198" s="43">
        <f t="shared" ref="I198:I245" si="19">H198-G198</f>
        <v>30494.395347960748</v>
      </c>
      <c r="J198" s="44">
        <f t="shared" ref="J198:J245" si="20">J197+I198</f>
        <v>3216589.9481454585</v>
      </c>
      <c r="K198" s="45">
        <f t="shared" si="16"/>
        <v>3736589.948145458</v>
      </c>
      <c r="L198" s="46" t="str">
        <f t="shared" si="17"/>
        <v/>
      </c>
      <c r="M198" s="47">
        <f t="shared" ref="M198:M245" si="21">I198</f>
        <v>30494.395347960748</v>
      </c>
    </row>
    <row r="199" spans="1:13" ht="12.75" customHeight="1" x14ac:dyDescent="0.35">
      <c r="A199" s="48">
        <v>17</v>
      </c>
      <c r="B199" s="40" t="s">
        <v>75</v>
      </c>
      <c r="C199" s="41">
        <f>Premissas!$C$47+0.0833333333*(Premissas!$C$48-Premissas!$C$47)</f>
        <v>0.70175000000049992</v>
      </c>
      <c r="D199" s="42">
        <f>(1+Premissas!$C$26)^(16)</f>
        <v>3.4259426433341331</v>
      </c>
      <c r="E199" s="43">
        <f>Dimensionador!$C$22*(Premissas!$C$47+0.0833333333*(Premissas!$C$48-Premissas!$C$47))*Premissas!$C$21*(1+Premissas!$C$26)^(16)</f>
        <v>33088.170041994214</v>
      </c>
      <c r="F199" s="43">
        <f>Dimensionador!$C$23*(Premissas!$C$47+0.0833333333*(Premissas!$C$48-Premissas!$C$47))*Premissas!$C$20*(1+Premissas!$C$26)^(16)</f>
        <v>1606.7920635992716</v>
      </c>
      <c r="G199" s="43">
        <f>Premissas!$C$25*(1+Premissas!$C$27)^(16)/12</f>
        <v>1043.0591854142115</v>
      </c>
      <c r="H199" s="43">
        <f t="shared" si="18"/>
        <v>31481.377978394943</v>
      </c>
      <c r="I199" s="43">
        <f t="shared" si="19"/>
        <v>30438.318792980732</v>
      </c>
      <c r="J199" s="44">
        <f t="shared" si="20"/>
        <v>3247028.2669384391</v>
      </c>
      <c r="K199" s="45">
        <f t="shared" ref="K199:K245" si="22">K198+I199</f>
        <v>3767028.2669384386</v>
      </c>
      <c r="L199" s="46" t="str">
        <f t="shared" ref="L199:L245" si="23">IF(AND(J199&gt;=0,J198&lt;0),"✅ PAYBACK","")</f>
        <v/>
      </c>
      <c r="M199" s="47">
        <f t="shared" si="21"/>
        <v>30438.318792980732</v>
      </c>
    </row>
    <row r="200" spans="1:13" ht="12.75" customHeight="1" x14ac:dyDescent="0.35">
      <c r="A200" s="48">
        <v>17</v>
      </c>
      <c r="B200" s="40" t="s">
        <v>76</v>
      </c>
      <c r="C200" s="41">
        <f>Premissas!$C$47+0.1666666667*(Premissas!$C$48-Premissas!$C$47)</f>
        <v>0.70049999999949997</v>
      </c>
      <c r="D200" s="42">
        <f>(1+Premissas!$C$26)^(16)</f>
        <v>3.4259426433341331</v>
      </c>
      <c r="E200" s="43">
        <f>Dimensionador!$C$22*(Premissas!$C$47+0.1666666667*(Premissas!$C$48-Premissas!$C$47))*Premissas!$C$21*(1+Premissas!$C$26)^(16)</f>
        <v>33029.231370693116</v>
      </c>
      <c r="F200" s="43">
        <f>Dimensionador!$C$23*(Premissas!$C$47+0.1666666667*(Premissas!$C$48-Premissas!$C$47))*Premissas!$C$20*(1+Premissas!$C$26)^(16)</f>
        <v>1603.9299473454712</v>
      </c>
      <c r="G200" s="43">
        <f>Premissas!$C$25*(1+Premissas!$C$27)^(16)/12</f>
        <v>1043.0591854142115</v>
      </c>
      <c r="H200" s="43">
        <f t="shared" si="18"/>
        <v>31425.301423347646</v>
      </c>
      <c r="I200" s="43">
        <f t="shared" si="19"/>
        <v>30382.242237933435</v>
      </c>
      <c r="J200" s="44">
        <f t="shared" si="20"/>
        <v>3277410.5091763726</v>
      </c>
      <c r="K200" s="45">
        <f t="shared" si="22"/>
        <v>3797410.5091763721</v>
      </c>
      <c r="L200" s="46" t="str">
        <f t="shared" si="23"/>
        <v/>
      </c>
      <c r="M200" s="47">
        <f t="shared" si="21"/>
        <v>30382.242237933435</v>
      </c>
    </row>
    <row r="201" spans="1:13" ht="12.75" customHeight="1" x14ac:dyDescent="0.35">
      <c r="A201" s="48">
        <v>17</v>
      </c>
      <c r="B201" s="40" t="s">
        <v>77</v>
      </c>
      <c r="C201" s="41">
        <f>Premissas!$C$47+0.25*(Premissas!$C$48-Premissas!$C$47)</f>
        <v>0.69924999999999993</v>
      </c>
      <c r="D201" s="42">
        <f>(1+Premissas!$C$26)^(16)</f>
        <v>3.4259426433341331</v>
      </c>
      <c r="E201" s="43">
        <f>Dimensionador!$C$22*(Premissas!$C$47+0.25*(Premissas!$C$48-Premissas!$C$47))*Premissas!$C$21*(1+Premissas!$C$26)^(16)</f>
        <v>32970.292699462727</v>
      </c>
      <c r="F201" s="43">
        <f>Dimensionador!$C$23*(Premissas!$C$47+0.25*(Premissas!$C$48-Premissas!$C$47))*Premissas!$C$20*(1+Premissas!$C$26)^(16)</f>
        <v>1601.0678310951052</v>
      </c>
      <c r="G201" s="43">
        <f>Premissas!$C$25*(1+Premissas!$C$27)^(16)/12</f>
        <v>1043.0591854142115</v>
      </c>
      <c r="H201" s="43">
        <f t="shared" si="18"/>
        <v>31369.224868367623</v>
      </c>
      <c r="I201" s="43">
        <f t="shared" si="19"/>
        <v>30326.165682953411</v>
      </c>
      <c r="J201" s="44">
        <f t="shared" si="20"/>
        <v>3307736.6748593259</v>
      </c>
      <c r="K201" s="45">
        <f t="shared" si="22"/>
        <v>3827736.6748593254</v>
      </c>
      <c r="L201" s="46" t="str">
        <f t="shared" si="23"/>
        <v/>
      </c>
      <c r="M201" s="47">
        <f t="shared" si="21"/>
        <v>30326.165682953411</v>
      </c>
    </row>
    <row r="202" spans="1:13" ht="12.75" customHeight="1" x14ac:dyDescent="0.35">
      <c r="A202" s="48">
        <v>17</v>
      </c>
      <c r="B202" s="40" t="s">
        <v>78</v>
      </c>
      <c r="C202" s="41">
        <f>Premissas!$C$47+0.3333333333*(Premissas!$C$48-Premissas!$C$47)</f>
        <v>0.6980000000005</v>
      </c>
      <c r="D202" s="42">
        <f>(1+Premissas!$C$26)^(16)</f>
        <v>3.4259426433341331</v>
      </c>
      <c r="E202" s="43">
        <f>Dimensionador!$C$22*(Premissas!$C$47+0.3333333333*(Premissas!$C$48-Premissas!$C$47))*Premissas!$C$21*(1+Premissas!$C$26)^(16)</f>
        <v>32911.354028232345</v>
      </c>
      <c r="F202" s="43">
        <f>Dimensionador!$C$23*(Premissas!$C$47+0.3333333333*(Premissas!$C$48-Premissas!$C$47))*Premissas!$C$20*(1+Premissas!$C$26)^(16)</f>
        <v>1598.2057148447395</v>
      </c>
      <c r="G202" s="43">
        <f>Premissas!$C$25*(1+Premissas!$C$27)^(16)/12</f>
        <v>1043.0591854142115</v>
      </c>
      <c r="H202" s="43">
        <f t="shared" si="18"/>
        <v>31313.148313387606</v>
      </c>
      <c r="I202" s="43">
        <f t="shared" si="19"/>
        <v>30270.089127973395</v>
      </c>
      <c r="J202" s="44">
        <f t="shared" si="20"/>
        <v>3338006.7639872991</v>
      </c>
      <c r="K202" s="45">
        <f t="shared" si="22"/>
        <v>3858006.7639872986</v>
      </c>
      <c r="L202" s="46" t="str">
        <f t="shared" si="23"/>
        <v/>
      </c>
      <c r="M202" s="47">
        <f t="shared" si="21"/>
        <v>30270.089127973395</v>
      </c>
    </row>
    <row r="203" spans="1:13" ht="12.75" customHeight="1" x14ac:dyDescent="0.35">
      <c r="A203" s="48">
        <v>17</v>
      </c>
      <c r="B203" s="40" t="s">
        <v>79</v>
      </c>
      <c r="C203" s="41">
        <f>Premissas!$C$47+0.4166666667*(Premissas!$C$48-Premissas!$C$47)</f>
        <v>0.69674999999949994</v>
      </c>
      <c r="D203" s="42">
        <f>(1+Premissas!$C$26)^(16)</f>
        <v>3.4259426433341331</v>
      </c>
      <c r="E203" s="43">
        <f>Dimensionador!$C$22*(Premissas!$C$47+0.4166666667*(Premissas!$C$48-Premissas!$C$47))*Premissas!$C$21*(1+Premissas!$C$26)^(16)</f>
        <v>32852.41535693124</v>
      </c>
      <c r="F203" s="43">
        <f>Dimensionador!$C$23*(Premissas!$C$47+0.4166666667*(Premissas!$C$48-Premissas!$C$47))*Premissas!$C$20*(1+Premissas!$C$26)^(16)</f>
        <v>1595.3435985909389</v>
      </c>
      <c r="G203" s="43">
        <f>Premissas!$C$25*(1+Premissas!$C$27)^(16)/12</f>
        <v>1043.0591854142115</v>
      </c>
      <c r="H203" s="43">
        <f t="shared" si="18"/>
        <v>31257.071758340302</v>
      </c>
      <c r="I203" s="43">
        <f t="shared" si="19"/>
        <v>30214.012572926091</v>
      </c>
      <c r="J203" s="44">
        <f t="shared" si="20"/>
        <v>3368220.7765602251</v>
      </c>
      <c r="K203" s="45">
        <f t="shared" si="22"/>
        <v>3888220.7765602246</v>
      </c>
      <c r="L203" s="46" t="str">
        <f t="shared" si="23"/>
        <v/>
      </c>
      <c r="M203" s="47">
        <f t="shared" si="21"/>
        <v>30214.012572926091</v>
      </c>
    </row>
    <row r="204" spans="1:13" ht="12.75" customHeight="1" x14ac:dyDescent="0.35">
      <c r="A204" s="48">
        <v>17</v>
      </c>
      <c r="B204" s="40" t="s">
        <v>80</v>
      </c>
      <c r="C204" s="41">
        <f>Premissas!$C$47+0.5*(Premissas!$C$48-Premissas!$C$47)</f>
        <v>0.69550000000000001</v>
      </c>
      <c r="D204" s="42">
        <f>(1+Premissas!$C$26)^(16)</f>
        <v>3.4259426433341331</v>
      </c>
      <c r="E204" s="43">
        <f>Dimensionador!$C$22*(Premissas!$C$47+0.5*(Premissas!$C$48-Premissas!$C$47))*Premissas!$C$21*(1+Premissas!$C$26)^(16)</f>
        <v>32793.476685700865</v>
      </c>
      <c r="F204" s="43">
        <f>Dimensionador!$C$23*(Premissas!$C$47+0.5*(Premissas!$C$48-Premissas!$C$47))*Premissas!$C$20*(1+Premissas!$C$26)^(16)</f>
        <v>1592.4814823405734</v>
      </c>
      <c r="G204" s="43">
        <f>Premissas!$C$25*(1+Premissas!$C$27)^(16)/12</f>
        <v>1043.0591854142115</v>
      </c>
      <c r="H204" s="43">
        <f t="shared" si="18"/>
        <v>31200.995203360293</v>
      </c>
      <c r="I204" s="43">
        <f t="shared" si="19"/>
        <v>30157.936017946082</v>
      </c>
      <c r="J204" s="44">
        <f t="shared" si="20"/>
        <v>3398378.7125781709</v>
      </c>
      <c r="K204" s="45">
        <f t="shared" si="22"/>
        <v>3918378.7125781705</v>
      </c>
      <c r="L204" s="46" t="str">
        <f t="shared" si="23"/>
        <v/>
      </c>
      <c r="M204" s="47">
        <f t="shared" si="21"/>
        <v>30157.936017946082</v>
      </c>
    </row>
    <row r="205" spans="1:13" ht="12.75" customHeight="1" x14ac:dyDescent="0.35">
      <c r="A205" s="48">
        <v>17</v>
      </c>
      <c r="B205" s="40" t="s">
        <v>81</v>
      </c>
      <c r="C205" s="41">
        <f>Premissas!$C$47+0.5833333333*(Premissas!$C$48-Premissas!$C$47)</f>
        <v>0.69425000000049997</v>
      </c>
      <c r="D205" s="42">
        <f>(1+Premissas!$C$26)^(16)</f>
        <v>3.4259426433341331</v>
      </c>
      <c r="E205" s="43">
        <f>Dimensionador!$C$22*(Premissas!$C$47+0.5833333333*(Premissas!$C$48-Premissas!$C$47))*Premissas!$C$21*(1+Premissas!$C$26)^(16)</f>
        <v>32734.538014470483</v>
      </c>
      <c r="F205" s="43">
        <f>Dimensionador!$C$23*(Premissas!$C$47+0.5833333333*(Premissas!$C$48-Premissas!$C$47))*Premissas!$C$20*(1+Premissas!$C$26)^(16)</f>
        <v>1589.6193660902072</v>
      </c>
      <c r="G205" s="43">
        <f>Premissas!$C$25*(1+Premissas!$C$27)^(16)/12</f>
        <v>1043.0591854142115</v>
      </c>
      <c r="H205" s="43">
        <f t="shared" si="18"/>
        <v>31144.918648380277</v>
      </c>
      <c r="I205" s="43">
        <f t="shared" si="19"/>
        <v>30101.859462966066</v>
      </c>
      <c r="J205" s="44">
        <f t="shared" si="20"/>
        <v>3428480.5720411371</v>
      </c>
      <c r="K205" s="45">
        <f t="shared" si="22"/>
        <v>3948480.5720411367</v>
      </c>
      <c r="L205" s="46" t="str">
        <f t="shared" si="23"/>
        <v/>
      </c>
      <c r="M205" s="47">
        <f t="shared" si="21"/>
        <v>30101.859462966066</v>
      </c>
    </row>
    <row r="206" spans="1:13" ht="12.75" customHeight="1" x14ac:dyDescent="0.35">
      <c r="A206" s="48">
        <v>17</v>
      </c>
      <c r="B206" s="40" t="s">
        <v>82</v>
      </c>
      <c r="C206" s="41">
        <f>Premissas!$C$47+0.6666666667*(Premissas!$C$48-Premissas!$C$47)</f>
        <v>0.6929999999994999</v>
      </c>
      <c r="D206" s="42">
        <f>(1+Premissas!$C$26)^(16)</f>
        <v>3.4259426433341331</v>
      </c>
      <c r="E206" s="43">
        <f>Dimensionador!$C$22*(Premissas!$C$47+0.6666666667*(Premissas!$C$48-Premissas!$C$47))*Premissas!$C$21*(1+Premissas!$C$26)^(16)</f>
        <v>32675.599343169375</v>
      </c>
      <c r="F206" s="43">
        <f>Dimensionador!$C$23*(Premissas!$C$47+0.6666666667*(Premissas!$C$48-Premissas!$C$47))*Premissas!$C$20*(1+Premissas!$C$26)^(16)</f>
        <v>1586.7572498364068</v>
      </c>
      <c r="G206" s="43">
        <f>Premissas!$C$25*(1+Premissas!$C$27)^(16)/12</f>
        <v>1043.0591854142115</v>
      </c>
      <c r="H206" s="43">
        <f t="shared" si="18"/>
        <v>31088.842093332969</v>
      </c>
      <c r="I206" s="43">
        <f t="shared" si="19"/>
        <v>30045.782907918758</v>
      </c>
      <c r="J206" s="44">
        <f t="shared" si="20"/>
        <v>3458526.3549490557</v>
      </c>
      <c r="K206" s="45">
        <f t="shared" si="22"/>
        <v>3978526.3549490552</v>
      </c>
      <c r="L206" s="46" t="str">
        <f t="shared" si="23"/>
        <v/>
      </c>
      <c r="M206" s="47">
        <f t="shared" si="21"/>
        <v>30045.782907918758</v>
      </c>
    </row>
    <row r="207" spans="1:13" ht="12.75" customHeight="1" x14ac:dyDescent="0.35">
      <c r="A207" s="48">
        <v>17</v>
      </c>
      <c r="B207" s="40" t="s">
        <v>83</v>
      </c>
      <c r="C207" s="41">
        <f>Premissas!$C$47+0.75*(Premissas!$C$48-Premissas!$C$47)</f>
        <v>0.69174999999999998</v>
      </c>
      <c r="D207" s="42">
        <f>(1+Premissas!$C$26)^(16)</f>
        <v>3.4259426433341331</v>
      </c>
      <c r="E207" s="43">
        <f>Dimensionador!$C$22*(Premissas!$C$47+0.75*(Premissas!$C$48-Premissas!$C$47))*Premissas!$C$21*(1+Premissas!$C$26)^(16)</f>
        <v>32616.660671938997</v>
      </c>
      <c r="F207" s="43">
        <f>Dimensionador!$C$23*(Premissas!$C$47+0.75*(Premissas!$C$48-Premissas!$C$47))*Premissas!$C$20*(1+Premissas!$C$26)^(16)</f>
        <v>1583.8951335860411</v>
      </c>
      <c r="G207" s="43">
        <f>Premissas!$C$25*(1+Premissas!$C$27)^(16)/12</f>
        <v>1043.0591854142115</v>
      </c>
      <c r="H207" s="43">
        <f t="shared" si="18"/>
        <v>31032.765538352956</v>
      </c>
      <c r="I207" s="43">
        <f t="shared" si="19"/>
        <v>29989.706352938745</v>
      </c>
      <c r="J207" s="44">
        <f t="shared" si="20"/>
        <v>3488516.0613019946</v>
      </c>
      <c r="K207" s="45">
        <f t="shared" si="22"/>
        <v>4008516.0613019941</v>
      </c>
      <c r="L207" s="46" t="str">
        <f t="shared" si="23"/>
        <v/>
      </c>
      <c r="M207" s="47">
        <f t="shared" si="21"/>
        <v>29989.706352938745</v>
      </c>
    </row>
    <row r="208" spans="1:13" ht="12.75" customHeight="1" x14ac:dyDescent="0.35">
      <c r="A208" s="48">
        <v>17</v>
      </c>
      <c r="B208" s="40" t="s">
        <v>84</v>
      </c>
      <c r="C208" s="41">
        <f>Premissas!$C$47+0.8333333333*(Premissas!$C$48-Premissas!$C$47)</f>
        <v>0.69050000000049994</v>
      </c>
      <c r="D208" s="42">
        <f>(1+Premissas!$C$26)^(16)</f>
        <v>3.4259426433341331</v>
      </c>
      <c r="E208" s="43">
        <f>Dimensionador!$C$22*(Premissas!$C$47+0.8333333333*(Premissas!$C$48-Premissas!$C$47))*Premissas!$C$21*(1+Premissas!$C$26)^(16)</f>
        <v>32557.722000708614</v>
      </c>
      <c r="F208" s="43">
        <f>Dimensionador!$C$23*(Premissas!$C$47+0.8333333333*(Premissas!$C$48-Premissas!$C$47))*Premissas!$C$20*(1+Premissas!$C$26)^(16)</f>
        <v>1581.0330173356749</v>
      </c>
      <c r="G208" s="43">
        <f>Premissas!$C$25*(1+Premissas!$C$27)^(16)/12</f>
        <v>1043.0591854142115</v>
      </c>
      <c r="H208" s="43">
        <f t="shared" si="18"/>
        <v>30976.68898337294</v>
      </c>
      <c r="I208" s="43">
        <f t="shared" si="19"/>
        <v>29933.629797958729</v>
      </c>
      <c r="J208" s="44">
        <f t="shared" si="20"/>
        <v>3518449.6910999534</v>
      </c>
      <c r="K208" s="45">
        <f t="shared" si="22"/>
        <v>4038449.6910999529</v>
      </c>
      <c r="L208" s="46" t="str">
        <f t="shared" si="23"/>
        <v/>
      </c>
      <c r="M208" s="47">
        <f t="shared" si="21"/>
        <v>29933.629797958729</v>
      </c>
    </row>
    <row r="209" spans="1:13" ht="12.75" customHeight="1" x14ac:dyDescent="0.35">
      <c r="A209" s="49">
        <v>17</v>
      </c>
      <c r="B209" s="50" t="s">
        <v>85</v>
      </c>
      <c r="C209" s="51">
        <f>Premissas!$C$47+0.9166666667*(Premissas!$C$48-Premissas!$C$47)</f>
        <v>0.68924999999949998</v>
      </c>
      <c r="D209" s="52">
        <f>(1+Premissas!$C$26)^(16)</f>
        <v>3.4259426433341331</v>
      </c>
      <c r="E209" s="53">
        <f>Dimensionador!$C$22*(Premissas!$C$47+0.9166666667*(Premissas!$C$48-Premissas!$C$47))*Premissas!$C$21*(1+Premissas!$C$26)^(16)</f>
        <v>32498.783329407514</v>
      </c>
      <c r="F209" s="53">
        <f>Dimensionador!$C$23*(Premissas!$C$47+0.9166666667*(Premissas!$C$48-Premissas!$C$47))*Premissas!$C$20*(1+Premissas!$C$26)^(16)</f>
        <v>1578.1709010818747</v>
      </c>
      <c r="G209" s="53">
        <f>Premissas!$C$25*(1+Premissas!$C$27)^(16)/12</f>
        <v>1043.0591854142115</v>
      </c>
      <c r="H209" s="53">
        <f t="shared" si="18"/>
        <v>30920.612428325639</v>
      </c>
      <c r="I209" s="53">
        <f t="shared" si="19"/>
        <v>29877.553242911428</v>
      </c>
      <c r="J209" s="54">
        <f t="shared" si="20"/>
        <v>3548327.244342865</v>
      </c>
      <c r="K209" s="55">
        <f t="shared" si="22"/>
        <v>4068327.2443428645</v>
      </c>
      <c r="L209" s="56" t="str">
        <f t="shared" si="23"/>
        <v/>
      </c>
      <c r="M209" s="47">
        <f t="shared" si="21"/>
        <v>29877.553242911428</v>
      </c>
    </row>
    <row r="210" spans="1:13" ht="12.75" customHeight="1" x14ac:dyDescent="0.35">
      <c r="A210" s="57">
        <v>18</v>
      </c>
      <c r="B210" s="58" t="s">
        <v>73</v>
      </c>
      <c r="C210" s="59">
        <f>Premissas!$C$48+0*(Premissas!$C$49-Premissas!$C$48)</f>
        <v>0.68799999999999994</v>
      </c>
      <c r="D210" s="60">
        <f>(1+Premissas!$C$26)^(17)</f>
        <v>3.7000180548008639</v>
      </c>
      <c r="E210" s="61">
        <f>Dimensionador!$C$22*(Premissas!$C$48+0*(Premissas!$C$49-Premissas!$C$48))*Premissas!$C$21*(1+Premissas!$C$26)^(17)</f>
        <v>35035.032230831304</v>
      </c>
      <c r="F210" s="61">
        <f>Dimensionador!$C$23*(Premissas!$C$48+0*(Premissas!$C$49-Premissas!$C$48))*Premissas!$C$20*(1+Premissas!$C$26)^(17)</f>
        <v>1701.3334876180295</v>
      </c>
      <c r="G210" s="61">
        <f>Premissas!$C$25*(1+Premissas!$C$27)^(17)/12</f>
        <v>1074.3509609766379</v>
      </c>
      <c r="H210" s="61">
        <f t="shared" si="18"/>
        <v>33333.698743213274</v>
      </c>
      <c r="I210" s="61">
        <f t="shared" si="19"/>
        <v>32259.347782236637</v>
      </c>
      <c r="J210" s="62">
        <f t="shared" si="20"/>
        <v>3580586.5921251015</v>
      </c>
      <c r="K210" s="63">
        <f t="shared" si="22"/>
        <v>4100586.592125101</v>
      </c>
      <c r="L210" s="64" t="str">
        <f t="shared" si="23"/>
        <v/>
      </c>
      <c r="M210" s="47">
        <f t="shared" si="21"/>
        <v>32259.347782236637</v>
      </c>
    </row>
    <row r="211" spans="1:13" ht="12.75" customHeight="1" x14ac:dyDescent="0.35">
      <c r="A211" s="65">
        <v>18</v>
      </c>
      <c r="B211" s="58" t="s">
        <v>75</v>
      </c>
      <c r="C211" s="59">
        <f>Premissas!$C$48+0.0833333333*(Premissas!$C$49-Premissas!$C$48)</f>
        <v>0.68675000000049991</v>
      </c>
      <c r="D211" s="60">
        <f>(1+Premissas!$C$26)^(17)</f>
        <v>3.7000180548008639</v>
      </c>
      <c r="E211" s="61">
        <f>Dimensionador!$C$22*(Premissas!$C$48+0.0833333333*(Premissas!$C$49-Premissas!$C$48))*Premissas!$C$21*(1+Premissas!$C$26)^(17)</f>
        <v>34971.37846590249</v>
      </c>
      <c r="F211" s="61">
        <f>Dimensionador!$C$23*(Premissas!$C$48+0.0833333333*(Premissas!$C$49-Premissas!$C$48))*Premissas!$C$20*(1+Premissas!$C$26)^(17)</f>
        <v>1698.2424020676342</v>
      </c>
      <c r="G211" s="61">
        <f>Premissas!$C$25*(1+Premissas!$C$27)^(17)/12</f>
        <v>1074.3509609766379</v>
      </c>
      <c r="H211" s="61">
        <f t="shared" si="18"/>
        <v>33273.136063834856</v>
      </c>
      <c r="I211" s="61">
        <f t="shared" si="19"/>
        <v>32198.785102858219</v>
      </c>
      <c r="J211" s="62">
        <f t="shared" si="20"/>
        <v>3612785.3772279597</v>
      </c>
      <c r="K211" s="63">
        <f t="shared" si="22"/>
        <v>4132785.3772279592</v>
      </c>
      <c r="L211" s="64" t="str">
        <f t="shared" si="23"/>
        <v/>
      </c>
      <c r="M211" s="47">
        <f t="shared" si="21"/>
        <v>32198.785102858219</v>
      </c>
    </row>
    <row r="212" spans="1:13" ht="12.75" customHeight="1" x14ac:dyDescent="0.35">
      <c r="A212" s="65">
        <v>18</v>
      </c>
      <c r="B212" s="58" t="s">
        <v>76</v>
      </c>
      <c r="C212" s="59">
        <f>Premissas!$C$48+0.1666666667*(Premissas!$C$49-Premissas!$C$48)</f>
        <v>0.68549999999949995</v>
      </c>
      <c r="D212" s="60">
        <f>(1+Premissas!$C$26)^(17)</f>
        <v>3.7000180548008639</v>
      </c>
      <c r="E212" s="61">
        <f>Dimensionador!$C$22*(Premissas!$C$48+0.1666666667*(Premissas!$C$49-Premissas!$C$48))*Premissas!$C$21*(1+Premissas!$C$26)^(17)</f>
        <v>34907.724700897292</v>
      </c>
      <c r="F212" s="61">
        <f>Dimensionador!$C$23*(Premissas!$C$48+0.1666666667*(Premissas!$C$49-Premissas!$C$48))*Premissas!$C$20*(1+Premissas!$C$26)^(17)</f>
        <v>1695.1513165135298</v>
      </c>
      <c r="G212" s="61">
        <f>Premissas!$C$25*(1+Premissas!$C$27)^(17)/12</f>
        <v>1074.3509609766379</v>
      </c>
      <c r="H212" s="61">
        <f t="shared" si="18"/>
        <v>33212.573384383759</v>
      </c>
      <c r="I212" s="61">
        <f t="shared" si="19"/>
        <v>32138.222423407122</v>
      </c>
      <c r="J212" s="62">
        <f t="shared" si="20"/>
        <v>3644923.5996513669</v>
      </c>
      <c r="K212" s="63">
        <f t="shared" si="22"/>
        <v>4164923.5996513665</v>
      </c>
      <c r="L212" s="64" t="str">
        <f t="shared" si="23"/>
        <v/>
      </c>
      <c r="M212" s="47">
        <f t="shared" si="21"/>
        <v>32138.222423407122</v>
      </c>
    </row>
    <row r="213" spans="1:13" ht="12.75" customHeight="1" x14ac:dyDescent="0.35">
      <c r="A213" s="65">
        <v>18</v>
      </c>
      <c r="B213" s="58" t="s">
        <v>77</v>
      </c>
      <c r="C213" s="59">
        <f>Premissas!$C$48+0.25*(Premissas!$C$49-Premissas!$C$48)</f>
        <v>0.68425000000000002</v>
      </c>
      <c r="D213" s="60">
        <f>(1+Premissas!$C$26)^(17)</f>
        <v>3.7000180548008639</v>
      </c>
      <c r="E213" s="61">
        <f>Dimensionador!$C$22*(Premissas!$C$48+0.25*(Premissas!$C$49-Premissas!$C$48))*Premissas!$C$21*(1+Premissas!$C$26)^(17)</f>
        <v>34844.070935968492</v>
      </c>
      <c r="F213" s="61">
        <f>Dimensionador!$C$23*(Premissas!$C$48+0.25*(Premissas!$C$49-Premissas!$C$48))*Premissas!$C$20*(1+Premissas!$C$26)^(17)</f>
        <v>1692.0602309631349</v>
      </c>
      <c r="G213" s="61">
        <f>Premissas!$C$25*(1+Premissas!$C$27)^(17)/12</f>
        <v>1074.3509609766379</v>
      </c>
      <c r="H213" s="61">
        <f t="shared" si="18"/>
        <v>33152.010705005356</v>
      </c>
      <c r="I213" s="61">
        <f t="shared" si="19"/>
        <v>32077.659744028719</v>
      </c>
      <c r="J213" s="62">
        <f t="shared" si="20"/>
        <v>3677001.2593953959</v>
      </c>
      <c r="K213" s="63">
        <f t="shared" si="22"/>
        <v>4197001.2593953954</v>
      </c>
      <c r="L213" s="64" t="str">
        <f t="shared" si="23"/>
        <v/>
      </c>
      <c r="M213" s="47">
        <f t="shared" si="21"/>
        <v>32077.659744028719</v>
      </c>
    </row>
    <row r="214" spans="1:13" ht="12.75" customHeight="1" x14ac:dyDescent="0.35">
      <c r="A214" s="65">
        <v>18</v>
      </c>
      <c r="B214" s="58" t="s">
        <v>78</v>
      </c>
      <c r="C214" s="59">
        <f>Premissas!$C$48+0.3333333333*(Premissas!$C$49-Premissas!$C$48)</f>
        <v>0.68300000000049998</v>
      </c>
      <c r="D214" s="60">
        <f>(1+Premissas!$C$26)^(17)</f>
        <v>3.7000180548008639</v>
      </c>
      <c r="E214" s="61">
        <f>Dimensionador!$C$22*(Premissas!$C$48+0.3333333333*(Premissas!$C$49-Premissas!$C$48))*Premissas!$C$21*(1+Premissas!$C$26)^(17)</f>
        <v>34780.417171039677</v>
      </c>
      <c r="F214" s="61">
        <f>Dimensionador!$C$23*(Premissas!$C$48+0.3333333333*(Premissas!$C$49-Premissas!$C$48))*Premissas!$C$20*(1+Premissas!$C$26)^(17)</f>
        <v>1688.9691454127396</v>
      </c>
      <c r="G214" s="61">
        <f>Premissas!$C$25*(1+Premissas!$C$27)^(17)/12</f>
        <v>1074.3509609766379</v>
      </c>
      <c r="H214" s="61">
        <f t="shared" si="18"/>
        <v>33091.448025626938</v>
      </c>
      <c r="I214" s="61">
        <f t="shared" si="19"/>
        <v>32017.097064650301</v>
      </c>
      <c r="J214" s="62">
        <f t="shared" si="20"/>
        <v>3709018.356460046</v>
      </c>
      <c r="K214" s="63">
        <f t="shared" si="22"/>
        <v>4229018.356460046</v>
      </c>
      <c r="L214" s="64" t="str">
        <f t="shared" si="23"/>
        <v/>
      </c>
      <c r="M214" s="47">
        <f t="shared" si="21"/>
        <v>32017.097064650301</v>
      </c>
    </row>
    <row r="215" spans="1:13" ht="12.75" customHeight="1" x14ac:dyDescent="0.35">
      <c r="A215" s="65">
        <v>18</v>
      </c>
      <c r="B215" s="58" t="s">
        <v>79</v>
      </c>
      <c r="C215" s="59">
        <f>Premissas!$C$48+0.4166666667*(Premissas!$C$49-Premissas!$C$48)</f>
        <v>0.68174999999950003</v>
      </c>
      <c r="D215" s="60">
        <f>(1+Premissas!$C$26)^(17)</f>
        <v>3.7000180548008639</v>
      </c>
      <c r="E215" s="61">
        <f>Dimensionador!$C$22*(Premissas!$C$48+0.4166666667*(Premissas!$C$49-Premissas!$C$48))*Premissas!$C$21*(1+Premissas!$C$26)^(17)</f>
        <v>34716.763406034486</v>
      </c>
      <c r="F215" s="61">
        <f>Dimensionador!$C$23*(Premissas!$C$48+0.4166666667*(Premissas!$C$49-Premissas!$C$48))*Premissas!$C$20*(1+Premissas!$C$26)^(17)</f>
        <v>1685.878059858635</v>
      </c>
      <c r="G215" s="61">
        <f>Premissas!$C$25*(1+Premissas!$C$27)^(17)/12</f>
        <v>1074.3509609766379</v>
      </c>
      <c r="H215" s="61">
        <f t="shared" si="18"/>
        <v>33030.885346175848</v>
      </c>
      <c r="I215" s="61">
        <f t="shared" si="19"/>
        <v>31956.534385199211</v>
      </c>
      <c r="J215" s="62">
        <f t="shared" si="20"/>
        <v>3740974.8908452452</v>
      </c>
      <c r="K215" s="63">
        <f t="shared" si="22"/>
        <v>4260974.8908452457</v>
      </c>
      <c r="L215" s="64" t="str">
        <f t="shared" si="23"/>
        <v/>
      </c>
      <c r="M215" s="47">
        <f t="shared" si="21"/>
        <v>31956.534385199211</v>
      </c>
    </row>
    <row r="216" spans="1:13" ht="12.75" customHeight="1" x14ac:dyDescent="0.35">
      <c r="A216" s="65">
        <v>18</v>
      </c>
      <c r="B216" s="58" t="s">
        <v>80</v>
      </c>
      <c r="C216" s="59">
        <f>Premissas!$C$48+0.5*(Premissas!$C$49-Premissas!$C$48)</f>
        <v>0.68049999999999999</v>
      </c>
      <c r="D216" s="60">
        <f>(1+Premissas!$C$26)^(17)</f>
        <v>3.7000180548008639</v>
      </c>
      <c r="E216" s="61">
        <f>Dimensionador!$C$22*(Premissas!$C$48+0.5*(Premissas!$C$49-Premissas!$C$48))*Premissas!$C$21*(1+Premissas!$C$26)^(17)</f>
        <v>34653.109641105671</v>
      </c>
      <c r="F216" s="61">
        <f>Dimensionador!$C$23*(Premissas!$C$48+0.5*(Premissas!$C$49-Premissas!$C$48))*Premissas!$C$20*(1+Premissas!$C$26)^(17)</f>
        <v>1682.7869743082399</v>
      </c>
      <c r="G216" s="61">
        <f>Premissas!$C$25*(1+Premissas!$C$27)^(17)/12</f>
        <v>1074.3509609766379</v>
      </c>
      <c r="H216" s="61">
        <f t="shared" si="18"/>
        <v>32970.32266679743</v>
      </c>
      <c r="I216" s="61">
        <f t="shared" si="19"/>
        <v>31895.971705820793</v>
      </c>
      <c r="J216" s="62">
        <f t="shared" si="20"/>
        <v>3772870.8625510661</v>
      </c>
      <c r="K216" s="63">
        <f t="shared" si="22"/>
        <v>4292870.8625510661</v>
      </c>
      <c r="L216" s="64" t="str">
        <f t="shared" si="23"/>
        <v/>
      </c>
      <c r="M216" s="47">
        <f t="shared" si="21"/>
        <v>31895.971705820793</v>
      </c>
    </row>
    <row r="217" spans="1:13" ht="12.75" customHeight="1" x14ac:dyDescent="0.35">
      <c r="A217" s="65">
        <v>18</v>
      </c>
      <c r="B217" s="58" t="s">
        <v>81</v>
      </c>
      <c r="C217" s="59">
        <f>Premissas!$C$48+0.5833333333*(Premissas!$C$49-Premissas!$C$48)</f>
        <v>0.67925000000049995</v>
      </c>
      <c r="D217" s="60">
        <f>(1+Premissas!$C$26)^(17)</f>
        <v>3.7000180548008639</v>
      </c>
      <c r="E217" s="61">
        <f>Dimensionador!$C$22*(Premissas!$C$48+0.5833333333*(Premissas!$C$49-Premissas!$C$48))*Premissas!$C$21*(1+Premissas!$C$26)^(17)</f>
        <v>34589.455876176857</v>
      </c>
      <c r="F217" s="61">
        <f>Dimensionador!$C$23*(Premissas!$C$48+0.5833333333*(Premissas!$C$49-Premissas!$C$48))*Premissas!$C$20*(1+Premissas!$C$26)^(17)</f>
        <v>1679.6958887578448</v>
      </c>
      <c r="G217" s="61">
        <f>Premissas!$C$25*(1+Premissas!$C$27)^(17)/12</f>
        <v>1074.3509609766379</v>
      </c>
      <c r="H217" s="61">
        <f t="shared" si="18"/>
        <v>32909.759987419013</v>
      </c>
      <c r="I217" s="61">
        <f t="shared" si="19"/>
        <v>31835.409026442376</v>
      </c>
      <c r="J217" s="62">
        <f t="shared" si="20"/>
        <v>3804706.2715775087</v>
      </c>
      <c r="K217" s="63">
        <f t="shared" si="22"/>
        <v>4324706.2715775082</v>
      </c>
      <c r="L217" s="64" t="str">
        <f t="shared" si="23"/>
        <v/>
      </c>
      <c r="M217" s="47">
        <f t="shared" si="21"/>
        <v>31835.409026442376</v>
      </c>
    </row>
    <row r="218" spans="1:13" ht="12.75" customHeight="1" x14ac:dyDescent="0.35">
      <c r="A218" s="65">
        <v>18</v>
      </c>
      <c r="B218" s="58" t="s">
        <v>82</v>
      </c>
      <c r="C218" s="59">
        <f>Premissas!$C$48+0.6666666667*(Premissas!$C$49-Premissas!$C$48)</f>
        <v>0.6779999999995</v>
      </c>
      <c r="D218" s="60">
        <f>(1+Premissas!$C$26)^(17)</f>
        <v>3.7000180548008639</v>
      </c>
      <c r="E218" s="61">
        <f>Dimensionador!$C$22*(Premissas!$C$48+0.6666666667*(Premissas!$C$49-Premissas!$C$48))*Premissas!$C$21*(1+Premissas!$C$26)^(17)</f>
        <v>34525.802111171673</v>
      </c>
      <c r="F218" s="61">
        <f>Dimensionador!$C$23*(Premissas!$C$48+0.6666666667*(Premissas!$C$49-Premissas!$C$48))*Premissas!$C$20*(1+Premissas!$C$26)^(17)</f>
        <v>1676.6048032037402</v>
      </c>
      <c r="G218" s="61">
        <f>Premissas!$C$25*(1+Premissas!$C$27)^(17)/12</f>
        <v>1074.3509609766379</v>
      </c>
      <c r="H218" s="61">
        <f t="shared" si="18"/>
        <v>32849.19730796793</v>
      </c>
      <c r="I218" s="61">
        <f t="shared" si="19"/>
        <v>31774.846346991293</v>
      </c>
      <c r="J218" s="62">
        <f t="shared" si="20"/>
        <v>3836481.1179244998</v>
      </c>
      <c r="K218" s="63">
        <f t="shared" si="22"/>
        <v>4356481.1179244993</v>
      </c>
      <c r="L218" s="64" t="str">
        <f t="shared" si="23"/>
        <v/>
      </c>
      <c r="M218" s="47">
        <f t="shared" si="21"/>
        <v>31774.846346991293</v>
      </c>
    </row>
    <row r="219" spans="1:13" ht="12.75" customHeight="1" x14ac:dyDescent="0.35">
      <c r="A219" s="65">
        <v>18</v>
      </c>
      <c r="B219" s="58" t="s">
        <v>83</v>
      </c>
      <c r="C219" s="59">
        <f>Premissas!$C$48+0.75*(Premissas!$C$49-Premissas!$C$48)</f>
        <v>0.67674999999999996</v>
      </c>
      <c r="D219" s="60">
        <f>(1+Premissas!$C$26)^(17)</f>
        <v>3.7000180548008639</v>
      </c>
      <c r="E219" s="61">
        <f>Dimensionador!$C$22*(Premissas!$C$48+0.75*(Premissas!$C$49-Premissas!$C$48))*Premissas!$C$21*(1+Premissas!$C$26)^(17)</f>
        <v>34462.148346242851</v>
      </c>
      <c r="F219" s="61">
        <f>Dimensionador!$C$23*(Premissas!$C$48+0.75*(Premissas!$C$49-Premissas!$C$48))*Premissas!$C$20*(1+Premissas!$C$26)^(17)</f>
        <v>1673.5137176533451</v>
      </c>
      <c r="G219" s="61">
        <f>Premissas!$C$25*(1+Premissas!$C$27)^(17)/12</f>
        <v>1074.3509609766379</v>
      </c>
      <c r="H219" s="61">
        <f t="shared" si="18"/>
        <v>32788.634628589505</v>
      </c>
      <c r="I219" s="61">
        <f t="shared" si="19"/>
        <v>31714.283667612868</v>
      </c>
      <c r="J219" s="62">
        <f t="shared" si="20"/>
        <v>3868195.4015921126</v>
      </c>
      <c r="K219" s="63">
        <f t="shared" si="22"/>
        <v>4388195.4015921121</v>
      </c>
      <c r="L219" s="64" t="str">
        <f t="shared" si="23"/>
        <v/>
      </c>
      <c r="M219" s="47">
        <f t="shared" si="21"/>
        <v>31714.283667612868</v>
      </c>
    </row>
    <row r="220" spans="1:13" ht="12.75" customHeight="1" x14ac:dyDescent="0.35">
      <c r="A220" s="65">
        <v>18</v>
      </c>
      <c r="B220" s="58" t="s">
        <v>84</v>
      </c>
      <c r="C220" s="59">
        <f>Premissas!$C$48+0.8333333333*(Premissas!$C$49-Premissas!$C$48)</f>
        <v>0.67550000000050003</v>
      </c>
      <c r="D220" s="60">
        <f>(1+Premissas!$C$26)^(17)</f>
        <v>3.7000180548008639</v>
      </c>
      <c r="E220" s="61">
        <f>Dimensionador!$C$22*(Premissas!$C$48+0.8333333333*(Premissas!$C$49-Premissas!$C$48))*Premissas!$C$21*(1+Premissas!$C$26)^(17)</f>
        <v>34398.494581314044</v>
      </c>
      <c r="F220" s="61">
        <f>Dimensionador!$C$23*(Premissas!$C$48+0.8333333333*(Premissas!$C$49-Premissas!$C$48))*Premissas!$C$20*(1+Premissas!$C$26)^(17)</f>
        <v>1670.42263210295</v>
      </c>
      <c r="G220" s="61">
        <f>Premissas!$C$25*(1+Premissas!$C$27)^(17)/12</f>
        <v>1074.3509609766379</v>
      </c>
      <c r="H220" s="61">
        <f t="shared" si="18"/>
        <v>32728.071949211095</v>
      </c>
      <c r="I220" s="61">
        <f t="shared" si="19"/>
        <v>31653.720988234458</v>
      </c>
      <c r="J220" s="62">
        <f t="shared" si="20"/>
        <v>3899849.1225803471</v>
      </c>
      <c r="K220" s="63">
        <f t="shared" si="22"/>
        <v>4419849.1225803467</v>
      </c>
      <c r="L220" s="64" t="str">
        <f t="shared" si="23"/>
        <v/>
      </c>
      <c r="M220" s="47">
        <f t="shared" si="21"/>
        <v>31653.720988234458</v>
      </c>
    </row>
    <row r="221" spans="1:13" ht="12.75" customHeight="1" x14ac:dyDescent="0.35">
      <c r="A221" s="66">
        <v>18</v>
      </c>
      <c r="B221" s="67" t="s">
        <v>85</v>
      </c>
      <c r="C221" s="68">
        <f>Premissas!$C$48+0.9166666667*(Premissas!$C$49-Premissas!$C$48)</f>
        <v>0.67424999999950008</v>
      </c>
      <c r="D221" s="69">
        <f>(1+Premissas!$C$26)^(17)</f>
        <v>3.7000180548008639</v>
      </c>
      <c r="E221" s="70">
        <f>Dimensionador!$C$22*(Premissas!$C$48+0.9166666667*(Premissas!$C$49-Premissas!$C$48))*Premissas!$C$21*(1+Premissas!$C$26)^(17)</f>
        <v>34334.840816308861</v>
      </c>
      <c r="F221" s="70">
        <f>Dimensionador!$C$23*(Premissas!$C$48+0.9166666667*(Premissas!$C$49-Premissas!$C$48))*Premissas!$C$20*(1+Premissas!$C$26)^(17)</f>
        <v>1667.3315465488458</v>
      </c>
      <c r="G221" s="70">
        <f>Premissas!$C$25*(1+Premissas!$C$27)^(17)/12</f>
        <v>1074.3509609766379</v>
      </c>
      <c r="H221" s="70">
        <f t="shared" si="18"/>
        <v>32667.509269760016</v>
      </c>
      <c r="I221" s="70">
        <f t="shared" si="19"/>
        <v>31593.158308783379</v>
      </c>
      <c r="J221" s="71">
        <f t="shared" si="20"/>
        <v>3931442.2808891307</v>
      </c>
      <c r="K221" s="72">
        <f t="shared" si="22"/>
        <v>4451442.2808891302</v>
      </c>
      <c r="L221" s="73" t="str">
        <f t="shared" si="23"/>
        <v/>
      </c>
      <c r="M221" s="47">
        <f t="shared" si="21"/>
        <v>31593.158308783379</v>
      </c>
    </row>
    <row r="222" spans="1:13" ht="12.75" customHeight="1" x14ac:dyDescent="0.35">
      <c r="A222" s="39">
        <v>19</v>
      </c>
      <c r="B222" s="40" t="s">
        <v>73</v>
      </c>
      <c r="C222" s="41">
        <f>Premissas!$C$49+0*(Premissas!$C$50-Premissas!$C$49)</f>
        <v>0.67300000000000004</v>
      </c>
      <c r="D222" s="42">
        <f>(1+Premissas!$C$26)^(18)</f>
        <v>3.9960194991849334</v>
      </c>
      <c r="E222" s="43">
        <f>Dimensionador!$C$22*(Premissas!$C$49+0*(Premissas!$C$50-Premissas!$C$49))*Premissas!$C$21*(1+Premissas!$C$26)^(18)</f>
        <v>37012.882015490446</v>
      </c>
      <c r="F222" s="43">
        <f>Dimensionador!$C$23*(Premissas!$C$49+0*(Premissas!$C$50-Premissas!$C$49))*Premissas!$C$20*(1+Premissas!$C$26)^(18)</f>
        <v>1797.3796978783266</v>
      </c>
      <c r="G222" s="43">
        <f>Premissas!$C$25*(1+Premissas!$C$27)^(18)/12</f>
        <v>1106.5814898059371</v>
      </c>
      <c r="H222" s="43">
        <f t="shared" si="18"/>
        <v>35215.502317612118</v>
      </c>
      <c r="I222" s="43">
        <f t="shared" si="19"/>
        <v>34108.920827806178</v>
      </c>
      <c r="J222" s="44">
        <f t="shared" si="20"/>
        <v>3965551.2017169367</v>
      </c>
      <c r="K222" s="45">
        <f t="shared" si="22"/>
        <v>4485551.2017169362</v>
      </c>
      <c r="L222" s="46" t="str">
        <f t="shared" si="23"/>
        <v/>
      </c>
      <c r="M222" s="47">
        <f t="shared" si="21"/>
        <v>34108.920827806178</v>
      </c>
    </row>
    <row r="223" spans="1:13" ht="12.75" customHeight="1" x14ac:dyDescent="0.35">
      <c r="A223" s="48">
        <v>19</v>
      </c>
      <c r="B223" s="40" t="s">
        <v>75</v>
      </c>
      <c r="C223" s="41">
        <f>Premissas!$C$49+0.0833333333*(Premissas!$C$50-Premissas!$C$49)</f>
        <v>0.67183333333380002</v>
      </c>
      <c r="D223" s="42">
        <f>(1+Premissas!$C$26)^(18)</f>
        <v>3.9960194991849334</v>
      </c>
      <c r="E223" s="43">
        <f>Dimensionador!$C$22*(Premissas!$C$49+0.0833333333*(Premissas!$C$50-Premissas!$C$49))*Premissas!$C$21*(1+Premissas!$C$26)^(18)</f>
        <v>36948.719020442208</v>
      </c>
      <c r="F223" s="43">
        <f>Dimensionador!$C$23*(Premissas!$C$49+0.0833333333*(Premissas!$C$50-Premissas!$C$49))*Premissas!$C$20*(1+Premissas!$C$26)^(18)</f>
        <v>1794.2638836435283</v>
      </c>
      <c r="G223" s="43">
        <f>Premissas!$C$25*(1+Premissas!$C$27)^(18)/12</f>
        <v>1106.5814898059371</v>
      </c>
      <c r="H223" s="43">
        <f t="shared" si="18"/>
        <v>35154.455136798679</v>
      </c>
      <c r="I223" s="43">
        <f t="shared" si="19"/>
        <v>34047.873646992739</v>
      </c>
      <c r="J223" s="44">
        <f t="shared" si="20"/>
        <v>3999599.0753639294</v>
      </c>
      <c r="K223" s="45">
        <f t="shared" si="22"/>
        <v>4519599.0753639294</v>
      </c>
      <c r="L223" s="46" t="str">
        <f t="shared" si="23"/>
        <v/>
      </c>
      <c r="M223" s="47">
        <f t="shared" si="21"/>
        <v>34047.873646992739</v>
      </c>
    </row>
    <row r="224" spans="1:13" ht="12.75" customHeight="1" x14ac:dyDescent="0.35">
      <c r="A224" s="48">
        <v>19</v>
      </c>
      <c r="B224" s="40" t="s">
        <v>76</v>
      </c>
      <c r="C224" s="41">
        <f>Premissas!$C$49+0.1666666667*(Premissas!$C$50-Premissas!$C$49)</f>
        <v>0.67066666666620001</v>
      </c>
      <c r="D224" s="42">
        <f>(1+Premissas!$C$26)^(18)</f>
        <v>3.9960194991849334</v>
      </c>
      <c r="E224" s="43">
        <f>Dimensionador!$C$22*(Premissas!$C$49+0.1666666667*(Premissas!$C$50-Premissas!$C$49))*Premissas!$C$21*(1+Premissas!$C$26)^(18)</f>
        <v>36884.556025316968</v>
      </c>
      <c r="F224" s="43">
        <f>Dimensionador!$C$23*(Premissas!$C$49+0.1666666667*(Premissas!$C$50-Premissas!$C$49))*Premissas!$C$20*(1+Premissas!$C$26)^(18)</f>
        <v>1791.1480694049908</v>
      </c>
      <c r="G224" s="43">
        <f>Premissas!$C$25*(1+Premissas!$C$27)^(18)/12</f>
        <v>1106.5814898059371</v>
      </c>
      <c r="H224" s="43">
        <f t="shared" si="18"/>
        <v>35093.407955911978</v>
      </c>
      <c r="I224" s="43">
        <f t="shared" si="19"/>
        <v>33986.826466106038</v>
      </c>
      <c r="J224" s="44">
        <f t="shared" si="20"/>
        <v>4033585.9018300353</v>
      </c>
      <c r="K224" s="45">
        <f t="shared" si="22"/>
        <v>4553585.9018300353</v>
      </c>
      <c r="L224" s="46" t="str">
        <f t="shared" si="23"/>
        <v/>
      </c>
      <c r="M224" s="47">
        <f t="shared" si="21"/>
        <v>33986.826466106038</v>
      </c>
    </row>
    <row r="225" spans="1:13" ht="12.75" customHeight="1" x14ac:dyDescent="0.35">
      <c r="A225" s="48">
        <v>19</v>
      </c>
      <c r="B225" s="40" t="s">
        <v>77</v>
      </c>
      <c r="C225" s="41">
        <f>Premissas!$C$49+0.25*(Premissas!$C$50-Premissas!$C$49)</f>
        <v>0.66949999999999998</v>
      </c>
      <c r="D225" s="42">
        <f>(1+Premissas!$C$26)^(18)</f>
        <v>3.9960194991849334</v>
      </c>
      <c r="E225" s="43">
        <f>Dimensionador!$C$22*(Premissas!$C$49+0.25*(Premissas!$C$50-Premissas!$C$49))*Premissas!$C$21*(1+Premissas!$C$26)^(18)</f>
        <v>36820.393030268729</v>
      </c>
      <c r="F225" s="43">
        <f>Dimensionador!$C$23*(Premissas!$C$49+0.25*(Premissas!$C$50-Premissas!$C$49))*Premissas!$C$20*(1+Premissas!$C$26)^(18)</f>
        <v>1788.0322551701925</v>
      </c>
      <c r="G225" s="43">
        <f>Premissas!$C$25*(1+Premissas!$C$27)^(18)/12</f>
        <v>1106.5814898059371</v>
      </c>
      <c r="H225" s="43">
        <f t="shared" si="18"/>
        <v>35032.360775098539</v>
      </c>
      <c r="I225" s="43">
        <f t="shared" si="19"/>
        <v>33925.7792852926</v>
      </c>
      <c r="J225" s="44">
        <f t="shared" si="20"/>
        <v>4067511.6811153279</v>
      </c>
      <c r="K225" s="45">
        <f t="shared" si="22"/>
        <v>4587511.6811153274</v>
      </c>
      <c r="L225" s="46" t="str">
        <f t="shared" si="23"/>
        <v/>
      </c>
      <c r="M225" s="47">
        <f t="shared" si="21"/>
        <v>33925.7792852926</v>
      </c>
    </row>
    <row r="226" spans="1:13" ht="12.75" customHeight="1" x14ac:dyDescent="0.35">
      <c r="A226" s="48">
        <v>19</v>
      </c>
      <c r="B226" s="40" t="s">
        <v>78</v>
      </c>
      <c r="C226" s="41">
        <f>Premissas!$C$49+0.3333333333*(Premissas!$C$50-Premissas!$C$49)</f>
        <v>0.66833333333380007</v>
      </c>
      <c r="D226" s="42">
        <f>(1+Premissas!$C$26)^(18)</f>
        <v>3.9960194991849334</v>
      </c>
      <c r="E226" s="43">
        <f>Dimensionador!$C$22*(Premissas!$C$49+0.3333333333*(Premissas!$C$50-Premissas!$C$49))*Premissas!$C$21*(1+Premissas!$C$26)^(18)</f>
        <v>36756.230035220491</v>
      </c>
      <c r="F226" s="43">
        <f>Dimensionador!$C$23*(Premissas!$C$49+0.3333333333*(Premissas!$C$50-Premissas!$C$49))*Premissas!$C$20*(1+Premissas!$C$26)^(18)</f>
        <v>1784.9164409353943</v>
      </c>
      <c r="G226" s="43">
        <f>Premissas!$C$25*(1+Premissas!$C$27)^(18)/12</f>
        <v>1106.5814898059371</v>
      </c>
      <c r="H226" s="43">
        <f t="shared" si="18"/>
        <v>34971.313594285093</v>
      </c>
      <c r="I226" s="43">
        <f t="shared" si="19"/>
        <v>33864.732104479153</v>
      </c>
      <c r="J226" s="44">
        <f t="shared" si="20"/>
        <v>4101376.4132198072</v>
      </c>
      <c r="K226" s="45">
        <f t="shared" si="22"/>
        <v>4621376.4132198067</v>
      </c>
      <c r="L226" s="46" t="str">
        <f t="shared" si="23"/>
        <v/>
      </c>
      <c r="M226" s="47">
        <f t="shared" si="21"/>
        <v>33864.732104479153</v>
      </c>
    </row>
    <row r="227" spans="1:13" ht="12.75" customHeight="1" x14ac:dyDescent="0.35">
      <c r="A227" s="48">
        <v>19</v>
      </c>
      <c r="B227" s="40" t="s">
        <v>79</v>
      </c>
      <c r="C227" s="41">
        <f>Premissas!$C$49+0.4166666667*(Premissas!$C$50-Premissas!$C$49)</f>
        <v>0.66716666666620006</v>
      </c>
      <c r="D227" s="42">
        <f>(1+Premissas!$C$26)^(18)</f>
        <v>3.9960194991849334</v>
      </c>
      <c r="E227" s="43">
        <f>Dimensionador!$C$22*(Premissas!$C$49+0.4166666667*(Premissas!$C$50-Premissas!$C$49))*Premissas!$C$21*(1+Premissas!$C$26)^(18)</f>
        <v>36692.067040095251</v>
      </c>
      <c r="F227" s="43">
        <f>Dimensionador!$C$23*(Premissas!$C$49+0.4166666667*(Premissas!$C$50-Premissas!$C$49))*Premissas!$C$20*(1+Premissas!$C$26)^(18)</f>
        <v>1781.8006266968571</v>
      </c>
      <c r="G227" s="43">
        <f>Premissas!$C$25*(1+Premissas!$C$27)^(18)/12</f>
        <v>1106.5814898059371</v>
      </c>
      <c r="H227" s="43">
        <f t="shared" si="18"/>
        <v>34910.266413398393</v>
      </c>
      <c r="I227" s="43">
        <f t="shared" si="19"/>
        <v>33803.684923592453</v>
      </c>
      <c r="J227" s="44">
        <f t="shared" si="20"/>
        <v>4135180.0981433997</v>
      </c>
      <c r="K227" s="45">
        <f t="shared" si="22"/>
        <v>4655180.0981433988</v>
      </c>
      <c r="L227" s="46" t="str">
        <f t="shared" si="23"/>
        <v/>
      </c>
      <c r="M227" s="47">
        <f t="shared" si="21"/>
        <v>33803.684923592453</v>
      </c>
    </row>
    <row r="228" spans="1:13" ht="12.75" customHeight="1" x14ac:dyDescent="0.35">
      <c r="A228" s="48">
        <v>19</v>
      </c>
      <c r="B228" s="40" t="s">
        <v>80</v>
      </c>
      <c r="C228" s="41">
        <f>Premissas!$C$49+0.5*(Premissas!$C$50-Premissas!$C$49)</f>
        <v>0.66600000000000004</v>
      </c>
      <c r="D228" s="42">
        <f>(1+Premissas!$C$26)^(18)</f>
        <v>3.9960194991849334</v>
      </c>
      <c r="E228" s="43">
        <f>Dimensionador!$C$22*(Premissas!$C$49+0.5*(Premissas!$C$50-Premissas!$C$49))*Premissas!$C$21*(1+Premissas!$C$26)^(18)</f>
        <v>36627.904045047013</v>
      </c>
      <c r="F228" s="43">
        <f>Dimensionador!$C$23*(Premissas!$C$49+0.5*(Premissas!$C$50-Premissas!$C$49))*Premissas!$C$20*(1+Premissas!$C$26)^(18)</f>
        <v>1778.6848124620587</v>
      </c>
      <c r="G228" s="43">
        <f>Premissas!$C$25*(1+Premissas!$C$27)^(18)/12</f>
        <v>1106.5814898059371</v>
      </c>
      <c r="H228" s="43">
        <f t="shared" si="18"/>
        <v>34849.219232584954</v>
      </c>
      <c r="I228" s="43">
        <f t="shared" si="19"/>
        <v>33742.637742779014</v>
      </c>
      <c r="J228" s="44">
        <f t="shared" si="20"/>
        <v>4168922.7358861789</v>
      </c>
      <c r="K228" s="45">
        <f t="shared" si="22"/>
        <v>4688922.735886178</v>
      </c>
      <c r="L228" s="46" t="str">
        <f t="shared" si="23"/>
        <v/>
      </c>
      <c r="M228" s="47">
        <f t="shared" si="21"/>
        <v>33742.637742779014</v>
      </c>
    </row>
    <row r="229" spans="1:13" ht="12.75" customHeight="1" x14ac:dyDescent="0.35">
      <c r="A229" s="48">
        <v>19</v>
      </c>
      <c r="B229" s="40" t="s">
        <v>81</v>
      </c>
      <c r="C229" s="41">
        <f>Premissas!$C$49+0.5833333333*(Premissas!$C$50-Premissas!$C$49)</f>
        <v>0.66483333333380001</v>
      </c>
      <c r="D229" s="42">
        <f>(1+Premissas!$C$26)^(18)</f>
        <v>3.9960194991849334</v>
      </c>
      <c r="E229" s="43">
        <f>Dimensionador!$C$22*(Premissas!$C$49+0.5833333333*(Premissas!$C$50-Premissas!$C$49))*Premissas!$C$21*(1+Premissas!$C$26)^(18)</f>
        <v>36563.741049998767</v>
      </c>
      <c r="F229" s="43">
        <f>Dimensionador!$C$23*(Premissas!$C$49+0.5833333333*(Premissas!$C$50-Premissas!$C$49))*Premissas!$C$20*(1+Premissas!$C$26)^(18)</f>
        <v>1775.5689982272604</v>
      </c>
      <c r="G229" s="43">
        <f>Premissas!$C$25*(1+Premissas!$C$27)^(18)/12</f>
        <v>1106.5814898059371</v>
      </c>
      <c r="H229" s="43">
        <f t="shared" si="18"/>
        <v>34788.172051771508</v>
      </c>
      <c r="I229" s="43">
        <f t="shared" si="19"/>
        <v>33681.590561965568</v>
      </c>
      <c r="J229" s="44">
        <f t="shared" si="20"/>
        <v>4202604.3264481444</v>
      </c>
      <c r="K229" s="45">
        <f t="shared" si="22"/>
        <v>4722604.3264481435</v>
      </c>
      <c r="L229" s="46" t="str">
        <f t="shared" si="23"/>
        <v/>
      </c>
      <c r="M229" s="47">
        <f t="shared" si="21"/>
        <v>33681.590561965568</v>
      </c>
    </row>
    <row r="230" spans="1:13" ht="12.75" customHeight="1" x14ac:dyDescent="0.35">
      <c r="A230" s="48">
        <v>19</v>
      </c>
      <c r="B230" s="40" t="s">
        <v>82</v>
      </c>
      <c r="C230" s="41">
        <f>Premissas!$C$49+0.6666666667*(Premissas!$C$50-Premissas!$C$49)</f>
        <v>0.6636666666662</v>
      </c>
      <c r="D230" s="42">
        <f>(1+Premissas!$C$26)^(18)</f>
        <v>3.9960194991849334</v>
      </c>
      <c r="E230" s="43">
        <f>Dimensionador!$C$22*(Premissas!$C$49+0.6666666667*(Premissas!$C$50-Premissas!$C$49))*Premissas!$C$21*(1+Premissas!$C$26)^(18)</f>
        <v>36499.578054873527</v>
      </c>
      <c r="F230" s="43">
        <f>Dimensionador!$C$23*(Premissas!$C$49+0.6666666667*(Premissas!$C$50-Premissas!$C$49))*Premissas!$C$20*(1+Premissas!$C$26)^(18)</f>
        <v>1772.4531839887231</v>
      </c>
      <c r="G230" s="43">
        <f>Premissas!$C$25*(1+Premissas!$C$27)^(18)/12</f>
        <v>1106.5814898059371</v>
      </c>
      <c r="H230" s="43">
        <f t="shared" si="18"/>
        <v>34727.124870884807</v>
      </c>
      <c r="I230" s="43">
        <f t="shared" si="19"/>
        <v>33620.543381078867</v>
      </c>
      <c r="J230" s="44">
        <f t="shared" si="20"/>
        <v>4236224.8698292235</v>
      </c>
      <c r="K230" s="45">
        <f t="shared" si="22"/>
        <v>4756224.8698292226</v>
      </c>
      <c r="L230" s="46" t="str">
        <f t="shared" si="23"/>
        <v/>
      </c>
      <c r="M230" s="47">
        <f t="shared" si="21"/>
        <v>33620.543381078867</v>
      </c>
    </row>
    <row r="231" spans="1:13" ht="12.75" customHeight="1" x14ac:dyDescent="0.35">
      <c r="A231" s="48">
        <v>19</v>
      </c>
      <c r="B231" s="40" t="s">
        <v>83</v>
      </c>
      <c r="C231" s="41">
        <f>Premissas!$C$49+0.75*(Premissas!$C$50-Premissas!$C$49)</f>
        <v>0.66250000000000009</v>
      </c>
      <c r="D231" s="42">
        <f>(1+Premissas!$C$26)^(18)</f>
        <v>3.9960194991849334</v>
      </c>
      <c r="E231" s="43">
        <f>Dimensionador!$C$22*(Premissas!$C$49+0.75*(Premissas!$C$50-Premissas!$C$49))*Premissas!$C$21*(1+Premissas!$C$26)^(18)</f>
        <v>36435.415059825296</v>
      </c>
      <c r="F231" s="43">
        <f>Dimensionador!$C$23*(Premissas!$C$49+0.75*(Premissas!$C$50-Premissas!$C$49))*Premissas!$C$20*(1+Premissas!$C$26)^(18)</f>
        <v>1769.337369753925</v>
      </c>
      <c r="G231" s="43">
        <f>Premissas!$C$25*(1+Premissas!$C$27)^(18)/12</f>
        <v>1106.5814898059371</v>
      </c>
      <c r="H231" s="43">
        <f t="shared" si="18"/>
        <v>34666.077690071368</v>
      </c>
      <c r="I231" s="43">
        <f t="shared" si="19"/>
        <v>33559.496200265428</v>
      </c>
      <c r="J231" s="44">
        <f t="shared" si="20"/>
        <v>4269784.3660294889</v>
      </c>
      <c r="K231" s="45">
        <f t="shared" si="22"/>
        <v>4789784.3660294879</v>
      </c>
      <c r="L231" s="46" t="str">
        <f t="shared" si="23"/>
        <v/>
      </c>
      <c r="M231" s="47">
        <f t="shared" si="21"/>
        <v>33559.496200265428</v>
      </c>
    </row>
    <row r="232" spans="1:13" ht="12.75" customHeight="1" x14ac:dyDescent="0.35">
      <c r="A232" s="48">
        <v>19</v>
      </c>
      <c r="B232" s="40" t="s">
        <v>84</v>
      </c>
      <c r="C232" s="41">
        <f>Premissas!$C$49+0.8333333333*(Premissas!$C$50-Premissas!$C$49)</f>
        <v>0.66133333333380007</v>
      </c>
      <c r="D232" s="42">
        <f>(1+Premissas!$C$26)^(18)</f>
        <v>3.9960194991849334</v>
      </c>
      <c r="E232" s="43">
        <f>Dimensionador!$C$22*(Premissas!$C$49+0.8333333333*(Premissas!$C$50-Premissas!$C$49))*Premissas!$C$21*(1+Premissas!$C$26)^(18)</f>
        <v>36371.252064777051</v>
      </c>
      <c r="F232" s="43">
        <f>Dimensionador!$C$23*(Premissas!$C$49+0.8333333333*(Premissas!$C$50-Premissas!$C$49))*Premissas!$C$20*(1+Premissas!$C$26)^(18)</f>
        <v>1766.2215555191265</v>
      </c>
      <c r="G232" s="43">
        <f>Premissas!$C$25*(1+Premissas!$C$27)^(18)/12</f>
        <v>1106.5814898059371</v>
      </c>
      <c r="H232" s="43">
        <f t="shared" si="18"/>
        <v>34605.030509257922</v>
      </c>
      <c r="I232" s="43">
        <f t="shared" si="19"/>
        <v>33498.449019451982</v>
      </c>
      <c r="J232" s="44">
        <f t="shared" si="20"/>
        <v>4303282.8150489405</v>
      </c>
      <c r="K232" s="45">
        <f t="shared" si="22"/>
        <v>4823282.8150489395</v>
      </c>
      <c r="L232" s="46" t="str">
        <f t="shared" si="23"/>
        <v/>
      </c>
      <c r="M232" s="47">
        <f t="shared" si="21"/>
        <v>33498.449019451982</v>
      </c>
    </row>
    <row r="233" spans="1:13" ht="12.75" customHeight="1" x14ac:dyDescent="0.35">
      <c r="A233" s="49">
        <v>19</v>
      </c>
      <c r="B233" s="50" t="s">
        <v>85</v>
      </c>
      <c r="C233" s="51">
        <f>Premissas!$C$49+0.9166666667*(Premissas!$C$50-Premissas!$C$49)</f>
        <v>0.66016666666620005</v>
      </c>
      <c r="D233" s="52">
        <f>(1+Premissas!$C$26)^(18)</f>
        <v>3.9960194991849334</v>
      </c>
      <c r="E233" s="53">
        <f>Dimensionador!$C$22*(Premissas!$C$49+0.9166666667*(Premissas!$C$50-Premissas!$C$49))*Premissas!$C$21*(1+Premissas!$C$26)^(18)</f>
        <v>36307.089069651818</v>
      </c>
      <c r="F233" s="53">
        <f>Dimensionador!$C$23*(Premissas!$C$49+0.9166666667*(Premissas!$C$50-Premissas!$C$49))*Premissas!$C$20*(1+Premissas!$C$26)^(18)</f>
        <v>1763.1057412805894</v>
      </c>
      <c r="G233" s="53">
        <f>Premissas!$C$25*(1+Premissas!$C$27)^(18)/12</f>
        <v>1106.5814898059371</v>
      </c>
      <c r="H233" s="53">
        <f t="shared" si="18"/>
        <v>34543.983328371229</v>
      </c>
      <c r="I233" s="53">
        <f t="shared" si="19"/>
        <v>33437.401838565289</v>
      </c>
      <c r="J233" s="54">
        <f t="shared" si="20"/>
        <v>4336720.2168875057</v>
      </c>
      <c r="K233" s="55">
        <f t="shared" si="22"/>
        <v>4856720.2168875048</v>
      </c>
      <c r="L233" s="56" t="str">
        <f t="shared" si="23"/>
        <v/>
      </c>
      <c r="M233" s="47">
        <f t="shared" si="21"/>
        <v>33437.401838565289</v>
      </c>
    </row>
    <row r="234" spans="1:13" ht="12.75" customHeight="1" x14ac:dyDescent="0.35">
      <c r="A234" s="57">
        <v>20</v>
      </c>
      <c r="B234" s="58" t="s">
        <v>73</v>
      </c>
      <c r="C234" s="59">
        <f>Premissas!$C$50+0*(Premissas!$C$51-Premissas!$C$50)</f>
        <v>0.65900000000000003</v>
      </c>
      <c r="D234" s="60">
        <f>(1+Premissas!$C$26)^(19)</f>
        <v>4.3157010591197285</v>
      </c>
      <c r="E234" s="61">
        <f>Dimensionador!$C$22*(Premissas!$C$50+0*(Premissas!$C$51-Premissas!$C$50))*Premissas!$C$21*(1+Premissas!$C$26)^(19)</f>
        <v>39142.360160571858</v>
      </c>
      <c r="F234" s="61">
        <f>Dimensionador!$C$23*(Premissas!$C$50+0*(Premissas!$C$51-Premissas!$C$50))*Premissas!$C$20*(1+Premissas!$C$26)^(19)</f>
        <v>1900.7891212094544</v>
      </c>
      <c r="G234" s="61">
        <f>Premissas!$C$25*(1+Premissas!$C$27)^(19)/12</f>
        <v>1139.7789345001152</v>
      </c>
      <c r="H234" s="61">
        <f t="shared" si="18"/>
        <v>37241.571039362403</v>
      </c>
      <c r="I234" s="61">
        <f t="shared" si="19"/>
        <v>36101.792104862288</v>
      </c>
      <c r="J234" s="62">
        <f t="shared" si="20"/>
        <v>4372822.0089923684</v>
      </c>
      <c r="K234" s="63">
        <f t="shared" si="22"/>
        <v>4892822.0089923674</v>
      </c>
      <c r="L234" s="64" t="str">
        <f t="shared" si="23"/>
        <v/>
      </c>
      <c r="M234" s="47">
        <f t="shared" si="21"/>
        <v>36101.792104862288</v>
      </c>
    </row>
    <row r="235" spans="1:13" ht="12.75" customHeight="1" x14ac:dyDescent="0.35">
      <c r="A235" s="65">
        <v>20</v>
      </c>
      <c r="B235" s="58" t="s">
        <v>75</v>
      </c>
      <c r="C235" s="59">
        <f>Premissas!$C$50+0.0833333333*(Premissas!$C$51-Premissas!$C$50)</f>
        <v>0.65783333333380001</v>
      </c>
      <c r="D235" s="60">
        <f>(1+Premissas!$C$26)^(19)</f>
        <v>4.3157010591197285</v>
      </c>
      <c r="E235" s="61">
        <f>Dimensionador!$C$22*(Premissas!$C$50+0.0833333333*(Premissas!$C$51-Premissas!$C$50))*Premissas!$C$21*(1+Premissas!$C$26)^(19)</f>
        <v>39073.064125919758</v>
      </c>
      <c r="F235" s="61">
        <f>Dimensionador!$C$23*(Premissas!$C$50+0.0833333333*(Premissas!$C$51-Premissas!$C$50))*Premissas!$C$20*(1+Premissas!$C$26)^(19)</f>
        <v>1897.4240418358722</v>
      </c>
      <c r="G235" s="61">
        <f>Premissas!$C$25*(1+Premissas!$C$27)^(19)/12</f>
        <v>1139.7789345001152</v>
      </c>
      <c r="H235" s="61">
        <f t="shared" si="18"/>
        <v>37175.640084083883</v>
      </c>
      <c r="I235" s="61">
        <f t="shared" si="19"/>
        <v>36035.861149583769</v>
      </c>
      <c r="J235" s="62">
        <f t="shared" si="20"/>
        <v>4408857.8701419523</v>
      </c>
      <c r="K235" s="63">
        <f t="shared" si="22"/>
        <v>4928857.8701419514</v>
      </c>
      <c r="L235" s="64" t="str">
        <f t="shared" si="23"/>
        <v/>
      </c>
      <c r="M235" s="47">
        <f t="shared" si="21"/>
        <v>36035.861149583769</v>
      </c>
    </row>
    <row r="236" spans="1:13" ht="12.75" customHeight="1" x14ac:dyDescent="0.35">
      <c r="A236" s="65">
        <v>20</v>
      </c>
      <c r="B236" s="58" t="s">
        <v>76</v>
      </c>
      <c r="C236" s="59">
        <f>Premissas!$C$50+0.1666666667*(Premissas!$C$51-Premissas!$C$50)</f>
        <v>0.65666666666619999</v>
      </c>
      <c r="D236" s="60">
        <f>(1+Premissas!$C$26)^(19)</f>
        <v>4.3157010591197285</v>
      </c>
      <c r="E236" s="61">
        <f>Dimensionador!$C$22*(Premissas!$C$50+0.1666666667*(Premissas!$C$51-Premissas!$C$50))*Premissas!$C$21*(1+Premissas!$C$26)^(19)</f>
        <v>39003.768091184502</v>
      </c>
      <c r="F236" s="61">
        <f>Dimensionador!$C$23*(Premissas!$C$50+0.1666666667*(Premissas!$C$51-Premissas!$C$50))*Premissas!$C$20*(1+Premissas!$C$26)^(19)</f>
        <v>1894.0589624582519</v>
      </c>
      <c r="G236" s="61">
        <f>Premissas!$C$25*(1+Premissas!$C$27)^(19)/12</f>
        <v>1139.7789345001152</v>
      </c>
      <c r="H236" s="61">
        <f t="shared" si="18"/>
        <v>37109.709128726252</v>
      </c>
      <c r="I236" s="61">
        <f t="shared" si="19"/>
        <v>35969.930194226137</v>
      </c>
      <c r="J236" s="62">
        <f t="shared" si="20"/>
        <v>4444827.8003361784</v>
      </c>
      <c r="K236" s="63">
        <f t="shared" si="22"/>
        <v>4964827.8003361775</v>
      </c>
      <c r="L236" s="64" t="str">
        <f t="shared" si="23"/>
        <v/>
      </c>
      <c r="M236" s="47">
        <f t="shared" si="21"/>
        <v>35969.930194226137</v>
      </c>
    </row>
    <row r="237" spans="1:13" ht="12.75" customHeight="1" x14ac:dyDescent="0.35">
      <c r="A237" s="65">
        <v>20</v>
      </c>
      <c r="B237" s="58" t="s">
        <v>77</v>
      </c>
      <c r="C237" s="59">
        <f>Premissas!$C$50+0.25*(Premissas!$C$51-Premissas!$C$50)</f>
        <v>0.65549999999999997</v>
      </c>
      <c r="D237" s="60">
        <f>(1+Premissas!$C$26)^(19)</f>
        <v>4.3157010591197285</v>
      </c>
      <c r="E237" s="61">
        <f>Dimensionador!$C$22*(Premissas!$C$50+0.25*(Premissas!$C$51-Premissas!$C$50))*Premissas!$C$21*(1+Premissas!$C$26)^(19)</f>
        <v>38934.47205653241</v>
      </c>
      <c r="F237" s="61">
        <f>Dimensionador!$C$23*(Premissas!$C$50+0.25*(Premissas!$C$51-Premissas!$C$50))*Premissas!$C$20*(1+Premissas!$C$26)^(19)</f>
        <v>1890.6938830846698</v>
      </c>
      <c r="G237" s="61">
        <f>Premissas!$C$25*(1+Premissas!$C$27)^(19)/12</f>
        <v>1139.7789345001152</v>
      </c>
      <c r="H237" s="61">
        <f t="shared" si="18"/>
        <v>37043.778173447739</v>
      </c>
      <c r="I237" s="61">
        <f t="shared" si="19"/>
        <v>35903.999238947625</v>
      </c>
      <c r="J237" s="62">
        <f t="shared" si="20"/>
        <v>4480731.7995751258</v>
      </c>
      <c r="K237" s="63">
        <f t="shared" si="22"/>
        <v>5000731.7995751249</v>
      </c>
      <c r="L237" s="64" t="str">
        <f t="shared" si="23"/>
        <v/>
      </c>
      <c r="M237" s="47">
        <f t="shared" si="21"/>
        <v>35903.999238947625</v>
      </c>
    </row>
    <row r="238" spans="1:13" ht="12.75" customHeight="1" x14ac:dyDescent="0.35">
      <c r="A238" s="65">
        <v>20</v>
      </c>
      <c r="B238" s="58" t="s">
        <v>78</v>
      </c>
      <c r="C238" s="59">
        <f>Premissas!$C$50+0.3333333333*(Premissas!$C$51-Premissas!$C$50)</f>
        <v>0.65433333333380006</v>
      </c>
      <c r="D238" s="60">
        <f>(1+Premissas!$C$26)^(19)</f>
        <v>4.3157010591197285</v>
      </c>
      <c r="E238" s="61">
        <f>Dimensionador!$C$22*(Premissas!$C$50+0.3333333333*(Premissas!$C$51-Premissas!$C$50))*Premissas!$C$21*(1+Premissas!$C$26)^(19)</f>
        <v>38865.17602188031</v>
      </c>
      <c r="F238" s="61">
        <f>Dimensionador!$C$23*(Premissas!$C$50+0.3333333333*(Premissas!$C$51-Premissas!$C$50))*Premissas!$C$20*(1+Premissas!$C$26)^(19)</f>
        <v>1887.3288037110876</v>
      </c>
      <c r="G238" s="61">
        <f>Premissas!$C$25*(1+Premissas!$C$27)^(19)/12</f>
        <v>1139.7789345001152</v>
      </c>
      <c r="H238" s="61">
        <f t="shared" si="18"/>
        <v>36977.84721816922</v>
      </c>
      <c r="I238" s="61">
        <f t="shared" si="19"/>
        <v>35838.068283669105</v>
      </c>
      <c r="J238" s="62">
        <f t="shared" si="20"/>
        <v>4516569.8678587945</v>
      </c>
      <c r="K238" s="63">
        <f t="shared" si="22"/>
        <v>5036569.8678587936</v>
      </c>
      <c r="L238" s="64" t="str">
        <f t="shared" si="23"/>
        <v/>
      </c>
      <c r="M238" s="47">
        <f t="shared" si="21"/>
        <v>35838.068283669105</v>
      </c>
    </row>
    <row r="239" spans="1:13" ht="12.75" customHeight="1" x14ac:dyDescent="0.35">
      <c r="A239" s="65">
        <v>20</v>
      </c>
      <c r="B239" s="58" t="s">
        <v>79</v>
      </c>
      <c r="C239" s="59">
        <f>Premissas!$C$50+0.4166666667*(Premissas!$C$51-Premissas!$C$50)</f>
        <v>0.65316666666620005</v>
      </c>
      <c r="D239" s="60">
        <f>(1+Premissas!$C$26)^(19)</f>
        <v>4.3157010591197285</v>
      </c>
      <c r="E239" s="61">
        <f>Dimensionador!$C$22*(Premissas!$C$50+0.4166666667*(Premissas!$C$51-Premissas!$C$50))*Premissas!$C$21*(1+Premissas!$C$26)^(19)</f>
        <v>38795.879987145054</v>
      </c>
      <c r="F239" s="61">
        <f>Dimensionador!$C$23*(Premissas!$C$50+0.4166666667*(Premissas!$C$51-Premissas!$C$50))*Premissas!$C$20*(1+Premissas!$C$26)^(19)</f>
        <v>1883.9637243334673</v>
      </c>
      <c r="G239" s="61">
        <f>Premissas!$C$25*(1+Premissas!$C$27)^(19)/12</f>
        <v>1139.7789345001152</v>
      </c>
      <c r="H239" s="61">
        <f t="shared" si="18"/>
        <v>36911.916262811588</v>
      </c>
      <c r="I239" s="61">
        <f t="shared" si="19"/>
        <v>35772.137328311474</v>
      </c>
      <c r="J239" s="62">
        <f t="shared" si="20"/>
        <v>4552342.0051871063</v>
      </c>
      <c r="K239" s="63">
        <f t="shared" si="22"/>
        <v>5072342.0051871054</v>
      </c>
      <c r="L239" s="64" t="str">
        <f t="shared" si="23"/>
        <v/>
      </c>
      <c r="M239" s="47">
        <f t="shared" si="21"/>
        <v>35772.137328311474</v>
      </c>
    </row>
    <row r="240" spans="1:13" ht="12.75" customHeight="1" x14ac:dyDescent="0.35">
      <c r="A240" s="65">
        <v>20</v>
      </c>
      <c r="B240" s="58" t="s">
        <v>80</v>
      </c>
      <c r="C240" s="59">
        <f>Premissas!$C$50+0.5*(Premissas!$C$51-Premissas!$C$50)</f>
        <v>0.65200000000000002</v>
      </c>
      <c r="D240" s="60">
        <f>(1+Premissas!$C$26)^(19)</f>
        <v>4.3157010591197285</v>
      </c>
      <c r="E240" s="61">
        <f>Dimensionador!$C$22*(Premissas!$C$50+0.5*(Premissas!$C$51-Premissas!$C$50))*Premissas!$C$21*(1+Premissas!$C$26)^(19)</f>
        <v>38726.583952492947</v>
      </c>
      <c r="F240" s="61">
        <f>Dimensionador!$C$23*(Premissas!$C$50+0.5*(Premissas!$C$51-Premissas!$C$50))*Premissas!$C$20*(1+Premissas!$C$26)^(19)</f>
        <v>1880.598644959885</v>
      </c>
      <c r="G240" s="61">
        <f>Premissas!$C$25*(1+Premissas!$C$27)^(19)/12</f>
        <v>1139.7789345001152</v>
      </c>
      <c r="H240" s="61">
        <f t="shared" si="18"/>
        <v>36845.985307533061</v>
      </c>
      <c r="I240" s="61">
        <f t="shared" si="19"/>
        <v>35706.206373032946</v>
      </c>
      <c r="J240" s="62">
        <f t="shared" si="20"/>
        <v>4588048.2115601394</v>
      </c>
      <c r="K240" s="63">
        <f t="shared" si="22"/>
        <v>5108048.2115601385</v>
      </c>
      <c r="L240" s="64" t="str">
        <f t="shared" si="23"/>
        <v/>
      </c>
      <c r="M240" s="47">
        <f t="shared" si="21"/>
        <v>35706.206373032946</v>
      </c>
    </row>
    <row r="241" spans="1:13" ht="12.75" customHeight="1" x14ac:dyDescent="0.35">
      <c r="A241" s="65">
        <v>20</v>
      </c>
      <c r="B241" s="58" t="s">
        <v>81</v>
      </c>
      <c r="C241" s="59">
        <f>Premissas!$C$50+0.5833333333*(Premissas!$C$51-Premissas!$C$50)</f>
        <v>0.6508333333338</v>
      </c>
      <c r="D241" s="60">
        <f>(1+Premissas!$C$26)^(19)</f>
        <v>4.3157010591197285</v>
      </c>
      <c r="E241" s="61">
        <f>Dimensionador!$C$22*(Premissas!$C$50+0.5833333333*(Premissas!$C$51-Premissas!$C$50))*Premissas!$C$21*(1+Premissas!$C$26)^(19)</f>
        <v>38657.287917840848</v>
      </c>
      <c r="F241" s="61">
        <f>Dimensionador!$C$23*(Premissas!$C$50+0.5833333333*(Premissas!$C$51-Premissas!$C$50))*Premissas!$C$20*(1+Premissas!$C$26)^(19)</f>
        <v>1877.2335655863028</v>
      </c>
      <c r="G241" s="61">
        <f>Premissas!$C$25*(1+Premissas!$C$27)^(19)/12</f>
        <v>1139.7789345001152</v>
      </c>
      <c r="H241" s="61">
        <f t="shared" si="18"/>
        <v>36780.054352254541</v>
      </c>
      <c r="I241" s="61">
        <f t="shared" si="19"/>
        <v>35640.275417754427</v>
      </c>
      <c r="J241" s="62">
        <f t="shared" si="20"/>
        <v>4623688.4869778939</v>
      </c>
      <c r="K241" s="63">
        <f t="shared" si="22"/>
        <v>5143688.4869778929</v>
      </c>
      <c r="L241" s="64" t="str">
        <f t="shared" si="23"/>
        <v/>
      </c>
      <c r="M241" s="47">
        <f t="shared" si="21"/>
        <v>35640.275417754427</v>
      </c>
    </row>
    <row r="242" spans="1:13" ht="12.75" customHeight="1" x14ac:dyDescent="0.35">
      <c r="A242" s="65">
        <v>20</v>
      </c>
      <c r="B242" s="58" t="s">
        <v>82</v>
      </c>
      <c r="C242" s="59">
        <f>Premissas!$C$50+0.6666666667*(Premissas!$C$51-Premissas!$C$50)</f>
        <v>0.64966666666619999</v>
      </c>
      <c r="D242" s="60">
        <f>(1+Premissas!$C$26)^(19)</f>
        <v>4.3157010591197285</v>
      </c>
      <c r="E242" s="61">
        <f>Dimensionador!$C$22*(Premissas!$C$50+0.6666666667*(Premissas!$C$51-Premissas!$C$50))*Premissas!$C$21*(1+Premissas!$C$26)^(19)</f>
        <v>38587.991883105591</v>
      </c>
      <c r="F242" s="61">
        <f>Dimensionador!$C$23*(Premissas!$C$50+0.6666666667*(Premissas!$C$51-Premissas!$C$50))*Premissas!$C$20*(1+Premissas!$C$26)^(19)</f>
        <v>1873.8684862086827</v>
      </c>
      <c r="G242" s="61">
        <f>Premissas!$C$25*(1+Premissas!$C$27)^(19)/12</f>
        <v>1139.7789345001152</v>
      </c>
      <c r="H242" s="61">
        <f t="shared" si="18"/>
        <v>36714.12339689691</v>
      </c>
      <c r="I242" s="61">
        <f t="shared" si="19"/>
        <v>35574.344462396795</v>
      </c>
      <c r="J242" s="62">
        <f t="shared" si="20"/>
        <v>4659262.8314402904</v>
      </c>
      <c r="K242" s="63">
        <f t="shared" si="22"/>
        <v>5179262.8314402895</v>
      </c>
      <c r="L242" s="64" t="str">
        <f t="shared" si="23"/>
        <v/>
      </c>
      <c r="M242" s="47">
        <f t="shared" si="21"/>
        <v>35574.344462396795</v>
      </c>
    </row>
    <row r="243" spans="1:13" ht="12.75" customHeight="1" x14ac:dyDescent="0.35">
      <c r="A243" s="65">
        <v>20</v>
      </c>
      <c r="B243" s="58" t="s">
        <v>83</v>
      </c>
      <c r="C243" s="59">
        <f>Premissas!$C$50+0.75*(Premissas!$C$51-Premissas!$C$50)</f>
        <v>0.64850000000000008</v>
      </c>
      <c r="D243" s="60">
        <f>(1+Premissas!$C$26)^(19)</f>
        <v>4.3157010591197285</v>
      </c>
      <c r="E243" s="61">
        <f>Dimensionador!$C$22*(Premissas!$C$50+0.75*(Premissas!$C$51-Premissas!$C$50))*Premissas!$C$21*(1+Premissas!$C$26)^(19)</f>
        <v>38518.695848453499</v>
      </c>
      <c r="F243" s="61">
        <f>Dimensionador!$C$23*(Premissas!$C$50+0.75*(Premissas!$C$51-Premissas!$C$50))*Premissas!$C$20*(1+Premissas!$C$26)^(19)</f>
        <v>1870.5034068351006</v>
      </c>
      <c r="G243" s="61">
        <f>Premissas!$C$25*(1+Premissas!$C$27)^(19)/12</f>
        <v>1139.7789345001152</v>
      </c>
      <c r="H243" s="61">
        <f t="shared" si="18"/>
        <v>36648.192441618397</v>
      </c>
      <c r="I243" s="61">
        <f t="shared" si="19"/>
        <v>35508.413507118283</v>
      </c>
      <c r="J243" s="62">
        <f t="shared" si="20"/>
        <v>4694771.2449474083</v>
      </c>
      <c r="K243" s="63">
        <f t="shared" si="22"/>
        <v>5214771.2449474074</v>
      </c>
      <c r="L243" s="64" t="str">
        <f t="shared" si="23"/>
        <v/>
      </c>
      <c r="M243" s="47">
        <f t="shared" si="21"/>
        <v>35508.413507118283</v>
      </c>
    </row>
    <row r="244" spans="1:13" ht="12.75" customHeight="1" x14ac:dyDescent="0.35">
      <c r="A244" s="65">
        <v>20</v>
      </c>
      <c r="B244" s="58" t="s">
        <v>84</v>
      </c>
      <c r="C244" s="59">
        <f>Premissas!$C$50+0.8333333333*(Premissas!$C$51-Premissas!$C$50)</f>
        <v>0.64733333333380005</v>
      </c>
      <c r="D244" s="60">
        <f>(1+Premissas!$C$26)^(19)</f>
        <v>4.3157010591197285</v>
      </c>
      <c r="E244" s="61">
        <f>Dimensionador!$C$22*(Premissas!$C$50+0.8333333333*(Premissas!$C$51-Premissas!$C$50))*Premissas!$C$21*(1+Premissas!$C$26)^(19)</f>
        <v>38449.399813801399</v>
      </c>
      <c r="F244" s="61">
        <f>Dimensionador!$C$23*(Premissas!$C$50+0.8333333333*(Premissas!$C$51-Premissas!$C$50))*Premissas!$C$20*(1+Premissas!$C$26)^(19)</f>
        <v>1867.1383274615184</v>
      </c>
      <c r="G244" s="61">
        <f>Premissas!$C$25*(1+Premissas!$C$27)^(19)/12</f>
        <v>1139.7789345001152</v>
      </c>
      <c r="H244" s="61">
        <f t="shared" si="18"/>
        <v>36582.261486339878</v>
      </c>
      <c r="I244" s="61">
        <f t="shared" si="19"/>
        <v>35442.482551839763</v>
      </c>
      <c r="J244" s="62">
        <f t="shared" si="20"/>
        <v>4730213.7274992485</v>
      </c>
      <c r="K244" s="63">
        <f t="shared" si="22"/>
        <v>5250213.7274992475</v>
      </c>
      <c r="L244" s="64" t="str">
        <f t="shared" si="23"/>
        <v/>
      </c>
      <c r="M244" s="47">
        <f t="shared" si="21"/>
        <v>35442.482551839763</v>
      </c>
    </row>
    <row r="245" spans="1:13" ht="12.75" customHeight="1" x14ac:dyDescent="0.35">
      <c r="A245" s="66">
        <v>20</v>
      </c>
      <c r="B245" s="67" t="s">
        <v>85</v>
      </c>
      <c r="C245" s="68">
        <f>Premissas!$C$50+0.9166666667*(Premissas!$C$51-Premissas!$C$50)</f>
        <v>0.64616666666620004</v>
      </c>
      <c r="D245" s="69">
        <f>(1+Premissas!$C$26)^(19)</f>
        <v>4.3157010591197285</v>
      </c>
      <c r="E245" s="70">
        <f>Dimensionador!$C$22*(Premissas!$C$50+0.9166666667*(Premissas!$C$51-Premissas!$C$50))*Premissas!$C$21*(1+Premissas!$C$26)^(19)</f>
        <v>38380.103779066143</v>
      </c>
      <c r="F245" s="70">
        <f>Dimensionador!$C$23*(Premissas!$C$50+0.9166666667*(Premissas!$C$51-Premissas!$C$50))*Premissas!$C$20*(1+Premissas!$C$26)^(19)</f>
        <v>1863.7732480838979</v>
      </c>
      <c r="G245" s="70">
        <f>Premissas!$C$25*(1+Premissas!$C$27)^(19)/12</f>
        <v>1139.7789345001152</v>
      </c>
      <c r="H245" s="70">
        <f t="shared" si="18"/>
        <v>36516.330530982246</v>
      </c>
      <c r="I245" s="70">
        <f t="shared" si="19"/>
        <v>35376.551596482132</v>
      </c>
      <c r="J245" s="71">
        <f t="shared" si="20"/>
        <v>4765590.2790957307</v>
      </c>
      <c r="K245" s="72">
        <f t="shared" si="22"/>
        <v>5285590.2790957298</v>
      </c>
      <c r="L245" s="73" t="str">
        <f t="shared" si="23"/>
        <v/>
      </c>
      <c r="M245" s="47">
        <f t="shared" si="21"/>
        <v>35376.551596482132</v>
      </c>
    </row>
    <row r="246" spans="1:13" ht="19.5" customHeight="1" x14ac:dyDescent="0.35">
      <c r="A246" s="74" t="s">
        <v>86</v>
      </c>
      <c r="B246" s="74" t="s">
        <v>87</v>
      </c>
      <c r="C246" s="75"/>
      <c r="D246" s="75"/>
      <c r="E246" s="76">
        <f>SUM(E6:E245)</f>
        <v>5775650.0973129347</v>
      </c>
      <c r="F246" s="76">
        <f>SUM(F6:F245)</f>
        <v>280470.89720315847</v>
      </c>
      <c r="G246" s="76">
        <f>SUM(G6:G245)</f>
        <v>209588.92101404787</v>
      </c>
      <c r="H246" s="76">
        <f>SUM(H6:H245)</f>
        <v>5495179.2001097798</v>
      </c>
      <c r="I246" s="76">
        <f>SUM(I6:I245)</f>
        <v>5285590.2790957298</v>
      </c>
      <c r="J246" s="76">
        <f>J245</f>
        <v>4765590.2790957307</v>
      </c>
      <c r="K246" s="76">
        <f>K245</f>
        <v>5285590.2790957298</v>
      </c>
      <c r="L246" s="75"/>
    </row>
    <row r="248" spans="1:13" ht="21.75" customHeight="1" x14ac:dyDescent="0.35">
      <c r="A248" s="98" t="s">
        <v>88</v>
      </c>
      <c r="B248" s="98"/>
      <c r="C248" s="98"/>
      <c r="D248" s="98"/>
      <c r="E248" s="98"/>
      <c r="F248" s="98"/>
      <c r="G248" s="98"/>
      <c r="H248" s="98"/>
      <c r="I248" s="98"/>
      <c r="J248" s="98"/>
      <c r="K248" s="98"/>
      <c r="L248" s="98"/>
    </row>
    <row r="249" spans="1:13" ht="19.5" customHeight="1" x14ac:dyDescent="0.35">
      <c r="A249" s="75"/>
      <c r="B249" s="77" t="s">
        <v>89</v>
      </c>
      <c r="C249" s="96">
        <f>-Dimensionador!$C$8+N6/(1+Premissas!$C$28)^1+N7/(1+Premissas!$C$28)^2+N8/(1+Premissas!$C$28)^3+N9/(1+Premissas!$C$28)^4+N10/(1+Premissas!$C$28)^5+N11/(1+Premissas!$C$28)^6+N12/(1+Premissas!$C$28)^7+N13/(1+Premissas!$C$28)^8+N14/(1+Premissas!$C$28)^9+N15/(1+Premissas!$C$28)^10+N16/(1+Premissas!$C$28)^11+N17/(1+Premissas!$C$28)^12+N18/(1+Premissas!$C$28)^13+N19/(1+Premissas!$C$28)^14+N20/(1+Premissas!$C$28)^15+N21/(1+Premissas!$C$28)^16+N22/(1+Premissas!$C$28)^17+N23/(1+Premissas!$C$28)^18+N24/(1+Premissas!$C$28)^19+N25/(1+Premissas!$C$28)^20</f>
        <v>1088598.1153814162</v>
      </c>
      <c r="D249" s="96"/>
      <c r="E249" s="96"/>
      <c r="F249" s="75"/>
      <c r="G249" s="75"/>
      <c r="H249" s="75"/>
      <c r="I249" s="75"/>
      <c r="J249" s="75"/>
      <c r="K249" s="75"/>
      <c r="L249" s="75"/>
    </row>
    <row r="250" spans="1:13" ht="19.5" customHeight="1" x14ac:dyDescent="0.35">
      <c r="A250" s="75"/>
      <c r="B250" s="77" t="s">
        <v>90</v>
      </c>
      <c r="C250" s="99">
        <f>IRR(N5:N25)</f>
        <v>0.33737692803821151</v>
      </c>
      <c r="D250" s="99"/>
      <c r="E250" s="99"/>
      <c r="F250" s="75"/>
      <c r="G250" s="75"/>
      <c r="H250" s="75"/>
      <c r="I250" s="75"/>
      <c r="J250" s="75"/>
      <c r="K250" s="75"/>
      <c r="L250" s="75"/>
    </row>
    <row r="251" spans="1:13" ht="19.5" customHeight="1" x14ac:dyDescent="0.35">
      <c r="A251" s="75"/>
      <c r="B251" s="77" t="s">
        <v>53</v>
      </c>
      <c r="C251" s="94">
        <f>IFERROR(COUNTIF(J6:J245,"&lt;0")+ABS(INDEX(J6:J245,COUNTIF(J6:J245,"&lt;0")))/INDEX(I6:I245,COUNTIF(J6:J245,"&lt;0")+1),"N/A")</f>
        <v>39.718689800577643</v>
      </c>
      <c r="D251" s="94"/>
      <c r="E251" s="94"/>
      <c r="F251" s="75"/>
      <c r="G251" s="75"/>
      <c r="H251" s="75"/>
      <c r="I251" s="75"/>
      <c r="J251" s="75"/>
      <c r="K251" s="75"/>
      <c r="L251" s="75"/>
    </row>
    <row r="252" spans="1:13" ht="19.5" customHeight="1" x14ac:dyDescent="0.35">
      <c r="A252" s="75"/>
      <c r="B252" s="77" t="s">
        <v>52</v>
      </c>
      <c r="C252" s="95">
        <f>IFERROR(C251/12,"N/A")</f>
        <v>3.3098908167148036</v>
      </c>
      <c r="D252" s="95"/>
      <c r="E252" s="95"/>
      <c r="F252" s="75"/>
      <c r="G252" s="75"/>
      <c r="H252" s="75"/>
      <c r="I252" s="75"/>
      <c r="J252" s="75"/>
      <c r="K252" s="75"/>
      <c r="L252" s="75"/>
    </row>
    <row r="253" spans="1:13" ht="19.5" customHeight="1" x14ac:dyDescent="0.35">
      <c r="A253" s="75"/>
      <c r="B253" s="77" t="s">
        <v>54</v>
      </c>
      <c r="C253" s="96">
        <f>J245</f>
        <v>4765590.2790957307</v>
      </c>
      <c r="D253" s="96"/>
      <c r="E253" s="96"/>
      <c r="F253" s="75"/>
      <c r="G253" s="75"/>
      <c r="H253" s="75"/>
      <c r="I253" s="75"/>
      <c r="J253" s="75"/>
      <c r="K253" s="75"/>
      <c r="L253" s="75"/>
    </row>
    <row r="254" spans="1:13" ht="19.5" customHeight="1" x14ac:dyDescent="0.35">
      <c r="A254" s="75"/>
      <c r="B254" s="77" t="s">
        <v>91</v>
      </c>
      <c r="C254" s="96">
        <f>SUM(I6:I245)</f>
        <v>5285590.2790957298</v>
      </c>
      <c r="D254" s="96"/>
      <c r="E254" s="96"/>
      <c r="F254" s="75"/>
      <c r="G254" s="75"/>
      <c r="H254" s="75"/>
      <c r="I254" s="75"/>
      <c r="J254" s="75"/>
      <c r="K254" s="75"/>
      <c r="L254" s="75"/>
    </row>
  </sheetData>
  <mergeCells count="9">
    <mergeCell ref="C251:E251"/>
    <mergeCell ref="C252:E252"/>
    <mergeCell ref="C253:E253"/>
    <mergeCell ref="C254:E254"/>
    <mergeCell ref="A1:L1"/>
    <mergeCell ref="A2:L2"/>
    <mergeCell ref="A248:L248"/>
    <mergeCell ref="C249:E249"/>
    <mergeCell ref="C250:E25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1"/>
  <sheetViews>
    <sheetView showGridLines="0" tabSelected="1" topLeftCell="A27" zoomScaleNormal="100" workbookViewId="0">
      <selection activeCell="C14" sqref="C14"/>
    </sheetView>
  </sheetViews>
  <sheetFormatPr defaultColWidth="8.6328125" defaultRowHeight="14.5" x14ac:dyDescent="0.35"/>
  <cols>
    <col min="1" max="1" width="3" customWidth="1"/>
    <col min="2" max="2" width="35" customWidth="1"/>
    <col min="3" max="3" width="18" customWidth="1"/>
    <col min="4" max="4" width="14" customWidth="1"/>
    <col min="7" max="7" width="14.453125" bestFit="1" customWidth="1"/>
  </cols>
  <sheetData>
    <row r="1" spans="1:7" ht="24" customHeight="1" x14ac:dyDescent="0.35">
      <c r="A1" s="97" t="s">
        <v>92</v>
      </c>
      <c r="B1" s="97"/>
      <c r="C1" s="97"/>
      <c r="D1" s="97"/>
    </row>
    <row r="2" spans="1:7" ht="24" customHeight="1" x14ac:dyDescent="0.35">
      <c r="A2" s="93" t="s">
        <v>93</v>
      </c>
      <c r="B2" s="93"/>
      <c r="C2" s="93"/>
      <c r="D2" s="93"/>
    </row>
    <row r="4" spans="1:7" ht="18" customHeight="1" x14ac:dyDescent="0.35">
      <c r="A4" s="78"/>
      <c r="B4" s="77" t="s">
        <v>94</v>
      </c>
      <c r="C4" s="79" t="s">
        <v>95</v>
      </c>
      <c r="D4" s="79" t="s">
        <v>96</v>
      </c>
    </row>
    <row r="5" spans="1:7" ht="15.75" customHeight="1" x14ac:dyDescent="0.35">
      <c r="A5" s="5"/>
      <c r="B5" s="5" t="s">
        <v>97</v>
      </c>
      <c r="C5" s="80">
        <v>241</v>
      </c>
      <c r="D5" s="7" t="s">
        <v>15</v>
      </c>
    </row>
    <row r="6" spans="1:7" ht="15.75" customHeight="1" x14ac:dyDescent="0.35">
      <c r="A6" s="5"/>
      <c r="B6" s="5" t="s">
        <v>16</v>
      </c>
      <c r="C6" s="81">
        <v>1</v>
      </c>
      <c r="D6" s="7" t="s">
        <v>17</v>
      </c>
      <c r="F6">
        <f>C10*C11</f>
        <v>4692.1701103199994</v>
      </c>
      <c r="G6">
        <f>Dimensionador!C5/F6</f>
        <v>0.50083435697085865</v>
      </c>
    </row>
    <row r="7" spans="1:7" ht="15.75" customHeight="1" x14ac:dyDescent="0.35">
      <c r="A7" s="5"/>
      <c r="B7" s="5" t="s">
        <v>18</v>
      </c>
      <c r="C7" s="81">
        <v>0.9556</v>
      </c>
      <c r="D7" s="7" t="s">
        <v>17</v>
      </c>
    </row>
    <row r="8" spans="1:7" ht="15.75" customHeight="1" x14ac:dyDescent="0.35">
      <c r="A8" s="5"/>
      <c r="B8" s="5" t="s">
        <v>19</v>
      </c>
      <c r="C8" s="81">
        <v>0.98</v>
      </c>
      <c r="D8" s="7" t="s">
        <v>17</v>
      </c>
    </row>
    <row r="9" spans="1:7" ht="15.75" customHeight="1" x14ac:dyDescent="0.35">
      <c r="A9" s="5"/>
      <c r="B9" s="5" t="s">
        <v>20</v>
      </c>
      <c r="C9" s="81">
        <v>0.99</v>
      </c>
      <c r="D9" s="7" t="s">
        <v>17</v>
      </c>
    </row>
    <row r="10" spans="1:7" ht="15.75" customHeight="1" x14ac:dyDescent="0.35">
      <c r="A10" s="5"/>
      <c r="B10" s="5" t="s">
        <v>21</v>
      </c>
      <c r="C10" s="80">
        <v>21</v>
      </c>
      <c r="D10" s="7" t="s">
        <v>22</v>
      </c>
    </row>
    <row r="11" spans="1:7" ht="15.75" customHeight="1" x14ac:dyDescent="0.35">
      <c r="A11" s="5"/>
      <c r="B11" s="9" t="s">
        <v>98</v>
      </c>
      <c r="C11" s="82">
        <f>C5*C6*C7*C8*C9</f>
        <v>223.43667191999998</v>
      </c>
      <c r="D11" s="9" t="s">
        <v>99</v>
      </c>
    </row>
    <row r="12" spans="1:7" ht="15.75" customHeight="1" x14ac:dyDescent="0.35">
      <c r="A12" s="5"/>
      <c r="B12" s="9" t="s">
        <v>100</v>
      </c>
      <c r="C12" s="82">
        <f>C11*C10</f>
        <v>4692.1701103199994</v>
      </c>
      <c r="D12" s="9" t="s">
        <v>99</v>
      </c>
    </row>
    <row r="13" spans="1:7" ht="15.75" customHeight="1" x14ac:dyDescent="0.35">
      <c r="A13" s="5"/>
      <c r="B13" s="9" t="s">
        <v>101</v>
      </c>
      <c r="C13" s="82">
        <f>((C5*C10*C6)/(C7*C8*C9))</f>
        <v>5458.821909219565</v>
      </c>
      <c r="D13" s="9" t="s">
        <v>99</v>
      </c>
    </row>
    <row r="15" spans="1:7" ht="18" customHeight="1" x14ac:dyDescent="0.35">
      <c r="A15" s="78"/>
      <c r="B15" s="77" t="s">
        <v>102</v>
      </c>
      <c r="C15" s="79" t="s">
        <v>95</v>
      </c>
      <c r="D15" s="79" t="s">
        <v>96</v>
      </c>
    </row>
    <row r="16" spans="1:7" ht="15.75" customHeight="1" x14ac:dyDescent="0.35">
      <c r="A16" s="5"/>
      <c r="B16" s="5" t="s">
        <v>103</v>
      </c>
      <c r="C16" s="83">
        <v>0.12243293</v>
      </c>
      <c r="D16" s="7" t="s">
        <v>104</v>
      </c>
    </row>
    <row r="17" spans="1:15" ht="15.75" customHeight="1" x14ac:dyDescent="0.35">
      <c r="A17" s="5"/>
      <c r="B17" s="5" t="s">
        <v>105</v>
      </c>
      <c r="C17" s="83">
        <v>0</v>
      </c>
      <c r="D17" s="7" t="s">
        <v>104</v>
      </c>
    </row>
    <row r="18" spans="1:15" ht="15.75" customHeight="1" x14ac:dyDescent="0.35">
      <c r="A18" s="5"/>
      <c r="B18" s="5" t="s">
        <v>106</v>
      </c>
      <c r="C18" s="83">
        <v>2.9331649799999999</v>
      </c>
      <c r="D18" s="7" t="s">
        <v>104</v>
      </c>
      <c r="G18" s="89"/>
    </row>
    <row r="19" spans="1:15" ht="15.75" customHeight="1" x14ac:dyDescent="0.35">
      <c r="A19" s="5"/>
      <c r="B19" s="5" t="s">
        <v>107</v>
      </c>
      <c r="C19" s="83">
        <v>0</v>
      </c>
      <c r="D19" s="7" t="s">
        <v>104</v>
      </c>
    </row>
    <row r="20" spans="1:15" ht="15.75" customHeight="1" x14ac:dyDescent="0.35">
      <c r="A20" s="5"/>
      <c r="B20" s="9" t="s">
        <v>108</v>
      </c>
      <c r="C20" s="84">
        <f>C16+C17</f>
        <v>0.12243293</v>
      </c>
      <c r="D20" s="9" t="s">
        <v>104</v>
      </c>
    </row>
    <row r="21" spans="1:15" ht="15.75" customHeight="1" x14ac:dyDescent="0.35">
      <c r="A21" s="5"/>
      <c r="B21" s="9" t="s">
        <v>109</v>
      </c>
      <c r="C21" s="84">
        <f>C18+C19</f>
        <v>2.9331649799999999</v>
      </c>
      <c r="D21" s="9" t="s">
        <v>104</v>
      </c>
    </row>
    <row r="22" spans="1:15" ht="15.75" customHeight="1" x14ac:dyDescent="0.35">
      <c r="A22" s="5"/>
      <c r="B22" s="9" t="s">
        <v>110</v>
      </c>
      <c r="C22" s="84">
        <f>C21-C20</f>
        <v>2.8107320499999999</v>
      </c>
      <c r="D22" s="9" t="s">
        <v>104</v>
      </c>
    </row>
    <row r="24" spans="1:15" ht="18" customHeight="1" x14ac:dyDescent="0.35">
      <c r="A24" s="78"/>
      <c r="B24" s="77" t="s">
        <v>111</v>
      </c>
      <c r="C24" s="79" t="s">
        <v>95</v>
      </c>
      <c r="D24" s="79" t="s">
        <v>96</v>
      </c>
    </row>
    <row r="25" spans="1:15" ht="15.75" customHeight="1" x14ac:dyDescent="0.35">
      <c r="A25" s="5"/>
      <c r="B25" s="5" t="s">
        <v>112</v>
      </c>
      <c r="C25" s="17">
        <f>Dimensionador!C8*1.5%</f>
        <v>7800</v>
      </c>
      <c r="D25" s="7" t="s">
        <v>113</v>
      </c>
    </row>
    <row r="26" spans="1:15" ht="15.75" customHeight="1" x14ac:dyDescent="0.35">
      <c r="A26" s="5"/>
      <c r="B26" s="5" t="s">
        <v>114</v>
      </c>
      <c r="C26" s="85">
        <v>0.08</v>
      </c>
      <c r="D26" s="7" t="s">
        <v>115</v>
      </c>
    </row>
    <row r="27" spans="1:15" ht="15.75" customHeight="1" x14ac:dyDescent="0.35">
      <c r="A27" s="5"/>
      <c r="B27" s="5" t="s">
        <v>116</v>
      </c>
      <c r="C27" s="85">
        <v>0.03</v>
      </c>
      <c r="D27" s="7" t="s">
        <v>115</v>
      </c>
    </row>
    <row r="28" spans="1:15" ht="15.75" customHeight="1" x14ac:dyDescent="0.35">
      <c r="A28" s="5"/>
      <c r="B28" s="5" t="s">
        <v>117</v>
      </c>
      <c r="C28" s="85">
        <v>0.12</v>
      </c>
      <c r="D28" s="7" t="s">
        <v>115</v>
      </c>
    </row>
    <row r="30" spans="1:15" ht="18" customHeight="1" x14ac:dyDescent="0.35">
      <c r="A30" s="78"/>
      <c r="B30" s="77" t="s">
        <v>118</v>
      </c>
      <c r="C30" s="79" t="s">
        <v>119</v>
      </c>
      <c r="D30" s="79" t="s">
        <v>59</v>
      </c>
      <c r="J30">
        <v>215</v>
      </c>
      <c r="K30">
        <v>241</v>
      </c>
    </row>
    <row r="31" spans="1:15" ht="13.5" customHeight="1" x14ac:dyDescent="0.35">
      <c r="A31" s="5"/>
      <c r="B31" s="5" t="s">
        <v>120</v>
      </c>
      <c r="C31" s="86">
        <v>1</v>
      </c>
      <c r="D31" s="87" t="s">
        <v>71</v>
      </c>
      <c r="J31" s="86">
        <v>1</v>
      </c>
      <c r="K31" s="86">
        <f>O31/1</f>
        <v>1</v>
      </c>
      <c r="O31" s="88">
        <v>1</v>
      </c>
    </row>
    <row r="32" spans="1:15" ht="13.5" customHeight="1" x14ac:dyDescent="0.35">
      <c r="A32" s="5"/>
      <c r="B32" s="5" t="s">
        <v>121</v>
      </c>
      <c r="C32" s="86">
        <v>0.97099999999999997</v>
      </c>
      <c r="D32" s="87" t="s">
        <v>122</v>
      </c>
      <c r="J32" s="86">
        <v>0.93884000000000001</v>
      </c>
      <c r="K32" s="86">
        <f t="shared" ref="K32:K51" si="0">O32/1</f>
        <v>0.97099999999999997</v>
      </c>
      <c r="O32" s="88">
        <v>0.97099999999999997</v>
      </c>
    </row>
    <row r="33" spans="1:15" ht="13.5" customHeight="1" x14ac:dyDescent="0.35">
      <c r="A33" s="5"/>
      <c r="B33" s="5" t="s">
        <v>123</v>
      </c>
      <c r="C33" s="86">
        <v>0.94799999999999995</v>
      </c>
      <c r="D33" s="87" t="s">
        <v>124</v>
      </c>
      <c r="J33" s="86">
        <v>0.91335999999999995</v>
      </c>
      <c r="K33" s="86">
        <f t="shared" si="0"/>
        <v>0.94799999999999995</v>
      </c>
      <c r="O33" s="88">
        <v>0.94799999999999995</v>
      </c>
    </row>
    <row r="34" spans="1:15" ht="13.5" customHeight="1" x14ac:dyDescent="0.35">
      <c r="A34" s="5"/>
      <c r="B34" s="5" t="s">
        <v>125</v>
      </c>
      <c r="C34" s="86">
        <v>0.92700000000000005</v>
      </c>
      <c r="D34" s="87" t="s">
        <v>126</v>
      </c>
      <c r="J34" s="86">
        <v>0.89358000000000004</v>
      </c>
      <c r="K34" s="86">
        <f t="shared" si="0"/>
        <v>0.92700000000000005</v>
      </c>
      <c r="O34" s="88">
        <v>0.92700000000000005</v>
      </c>
    </row>
    <row r="35" spans="1:15" ht="13.5" customHeight="1" x14ac:dyDescent="0.35">
      <c r="A35" s="5"/>
      <c r="B35" s="5" t="s">
        <v>127</v>
      </c>
      <c r="C35" s="86">
        <v>0.90700000000000003</v>
      </c>
      <c r="D35" s="87" t="s">
        <v>128</v>
      </c>
      <c r="J35" s="86">
        <v>0.87590999999999997</v>
      </c>
      <c r="K35" s="86">
        <f t="shared" si="0"/>
        <v>0.90700000000000003</v>
      </c>
      <c r="O35" s="88">
        <v>0.90700000000000003</v>
      </c>
    </row>
    <row r="36" spans="1:15" ht="13.5" customHeight="1" x14ac:dyDescent="0.35">
      <c r="A36" s="5"/>
      <c r="B36" s="5" t="s">
        <v>129</v>
      </c>
      <c r="C36" s="86">
        <v>0.88800000000000001</v>
      </c>
      <c r="D36" s="87" t="s">
        <v>130</v>
      </c>
      <c r="J36" s="86">
        <v>0.85936000000000001</v>
      </c>
      <c r="K36" s="86">
        <f t="shared" si="0"/>
        <v>0.88800000000000001</v>
      </c>
      <c r="O36" s="88">
        <v>0.88800000000000001</v>
      </c>
    </row>
    <row r="37" spans="1:15" ht="13.5" customHeight="1" x14ac:dyDescent="0.35">
      <c r="A37" s="5"/>
      <c r="B37" s="5" t="s">
        <v>131</v>
      </c>
      <c r="C37" s="86">
        <v>0.87</v>
      </c>
      <c r="D37" s="87" t="s">
        <v>132</v>
      </c>
      <c r="J37" s="86">
        <v>0.84357000000000004</v>
      </c>
      <c r="K37" s="86">
        <f t="shared" si="0"/>
        <v>0.87</v>
      </c>
      <c r="O37" s="88">
        <v>0.87</v>
      </c>
    </row>
    <row r="38" spans="1:15" ht="13.5" customHeight="1" x14ac:dyDescent="0.35">
      <c r="A38" s="5"/>
      <c r="B38" s="5" t="s">
        <v>133</v>
      </c>
      <c r="C38" s="86">
        <v>0.85199999999999998</v>
      </c>
      <c r="D38" s="87" t="s">
        <v>134</v>
      </c>
      <c r="J38" s="86">
        <v>0.82835000000000003</v>
      </c>
      <c r="K38" s="86">
        <f t="shared" si="0"/>
        <v>0.85199999999999998</v>
      </c>
      <c r="O38" s="88">
        <v>0.85199999999999998</v>
      </c>
    </row>
    <row r="39" spans="1:15" ht="13.5" customHeight="1" x14ac:dyDescent="0.35">
      <c r="A39" s="5"/>
      <c r="B39" s="5" t="s">
        <v>135</v>
      </c>
      <c r="C39" s="86">
        <v>0.83399999999999996</v>
      </c>
      <c r="D39" s="87" t="s">
        <v>136</v>
      </c>
      <c r="J39" s="86">
        <v>0.81357000000000002</v>
      </c>
      <c r="K39" s="86">
        <f t="shared" si="0"/>
        <v>0.83399999999999996</v>
      </c>
      <c r="O39" s="88">
        <v>0.83399999999999996</v>
      </c>
    </row>
    <row r="40" spans="1:15" ht="13.5" customHeight="1" x14ac:dyDescent="0.35">
      <c r="A40" s="5"/>
      <c r="B40" s="5" t="s">
        <v>137</v>
      </c>
      <c r="C40" s="86">
        <v>0.81699999999999995</v>
      </c>
      <c r="D40" s="87" t="s">
        <v>138</v>
      </c>
      <c r="J40" s="86">
        <v>0.79915999999999998</v>
      </c>
      <c r="K40" s="86">
        <f t="shared" si="0"/>
        <v>0.81699999999999995</v>
      </c>
      <c r="O40" s="88">
        <v>0.81699999999999995</v>
      </c>
    </row>
    <row r="41" spans="1:15" ht="13.5" customHeight="1" x14ac:dyDescent="0.35">
      <c r="A41" s="5"/>
      <c r="B41" s="5" t="s">
        <v>139</v>
      </c>
      <c r="C41" s="86">
        <v>0.79900000000000004</v>
      </c>
      <c r="D41" s="87" t="s">
        <v>140</v>
      </c>
      <c r="J41" s="86">
        <v>0.78505999999999998</v>
      </c>
      <c r="K41" s="86">
        <f t="shared" si="0"/>
        <v>0.79900000000000004</v>
      </c>
      <c r="O41" s="88">
        <v>0.79900000000000004</v>
      </c>
    </row>
    <row r="42" spans="1:15" ht="13.5" customHeight="1" x14ac:dyDescent="0.35">
      <c r="A42" s="5"/>
      <c r="B42" s="5" t="s">
        <v>141</v>
      </c>
      <c r="C42" s="86">
        <v>0.78300000000000003</v>
      </c>
      <c r="D42" s="87" t="s">
        <v>142</v>
      </c>
      <c r="J42" s="86">
        <v>0.77122000000000002</v>
      </c>
      <c r="K42" s="86">
        <f t="shared" si="0"/>
        <v>0.78300000000000003</v>
      </c>
      <c r="O42" s="88">
        <v>0.78300000000000003</v>
      </c>
    </row>
    <row r="43" spans="1:15" ht="13.5" customHeight="1" x14ac:dyDescent="0.35">
      <c r="A43" s="5"/>
      <c r="B43" s="5" t="s">
        <v>143</v>
      </c>
      <c r="C43" s="86">
        <v>0.76600000000000001</v>
      </c>
      <c r="D43" s="87" t="s">
        <v>144</v>
      </c>
      <c r="J43" s="86">
        <v>0.75761999999999996</v>
      </c>
      <c r="K43" s="86">
        <f t="shared" si="0"/>
        <v>0.76600000000000001</v>
      </c>
      <c r="O43" s="88">
        <v>0.76600000000000001</v>
      </c>
    </row>
    <row r="44" spans="1:15" ht="13.5" customHeight="1" x14ac:dyDescent="0.35">
      <c r="A44" s="5"/>
      <c r="B44" s="5" t="s">
        <v>145</v>
      </c>
      <c r="C44" s="86">
        <v>0.75</v>
      </c>
      <c r="D44" s="87" t="s">
        <v>146</v>
      </c>
      <c r="J44" s="86">
        <v>0.74421000000000004</v>
      </c>
      <c r="K44" s="86">
        <f t="shared" si="0"/>
        <v>0.75</v>
      </c>
      <c r="O44" s="88">
        <v>0.75</v>
      </c>
    </row>
    <row r="45" spans="1:15" ht="13.5" customHeight="1" x14ac:dyDescent="0.35">
      <c r="A45" s="5"/>
      <c r="B45" s="5" t="s">
        <v>147</v>
      </c>
      <c r="C45" s="86">
        <v>0.73399999999999999</v>
      </c>
      <c r="D45" s="87" t="s">
        <v>148</v>
      </c>
      <c r="J45" s="86">
        <v>0.73097999999999996</v>
      </c>
      <c r="K45" s="86">
        <f t="shared" si="0"/>
        <v>0.73399999999999999</v>
      </c>
      <c r="O45" s="88">
        <v>0.73399999999999999</v>
      </c>
    </row>
    <row r="46" spans="1:15" ht="13.5" customHeight="1" x14ac:dyDescent="0.35">
      <c r="A46" s="5"/>
      <c r="B46" s="5" t="s">
        <v>149</v>
      </c>
      <c r="C46" s="86">
        <v>0.71799999999999997</v>
      </c>
      <c r="D46" s="87" t="s">
        <v>150</v>
      </c>
      <c r="J46" s="86">
        <v>0.71792</v>
      </c>
      <c r="K46" s="86">
        <f t="shared" si="0"/>
        <v>0.71799999999999997</v>
      </c>
      <c r="O46" s="88">
        <v>0.71799999999999997</v>
      </c>
    </row>
    <row r="47" spans="1:15" ht="13.5" customHeight="1" x14ac:dyDescent="0.35">
      <c r="A47" s="5"/>
      <c r="B47" s="5" t="s">
        <v>151</v>
      </c>
      <c r="C47" s="86">
        <v>0.70299999999999996</v>
      </c>
      <c r="D47" s="87" t="s">
        <v>152</v>
      </c>
      <c r="J47" s="86">
        <v>0.70499999999999996</v>
      </c>
      <c r="K47" s="86">
        <f t="shared" si="0"/>
        <v>0.70299999999999996</v>
      </c>
      <c r="O47" s="88">
        <v>0.70299999999999996</v>
      </c>
    </row>
    <row r="48" spans="1:15" ht="13.5" customHeight="1" x14ac:dyDescent="0.35">
      <c r="A48" s="5"/>
      <c r="B48" s="5" t="s">
        <v>153</v>
      </c>
      <c r="C48" s="86">
        <v>0.68799999999999994</v>
      </c>
      <c r="D48" s="87" t="s">
        <v>154</v>
      </c>
      <c r="J48" s="86">
        <v>0.69220999999999999</v>
      </c>
      <c r="K48" s="86">
        <f t="shared" si="0"/>
        <v>0.68799999999999994</v>
      </c>
      <c r="O48" s="88">
        <v>0.68799999999999994</v>
      </c>
    </row>
    <row r="49" spans="1:15" ht="13.5" customHeight="1" x14ac:dyDescent="0.35">
      <c r="A49" s="5"/>
      <c r="B49" s="5" t="s">
        <v>155</v>
      </c>
      <c r="C49" s="86">
        <v>0.67300000000000004</v>
      </c>
      <c r="D49" s="87" t="s">
        <v>156</v>
      </c>
      <c r="J49" s="86">
        <v>0.67954999999999999</v>
      </c>
      <c r="K49" s="86">
        <f t="shared" si="0"/>
        <v>0.67300000000000004</v>
      </c>
      <c r="O49" s="88">
        <v>0.67300000000000004</v>
      </c>
    </row>
    <row r="50" spans="1:15" ht="13.5" customHeight="1" x14ac:dyDescent="0.35">
      <c r="A50" s="5"/>
      <c r="B50" s="5" t="s">
        <v>157</v>
      </c>
      <c r="C50" s="86">
        <v>0.65900000000000003</v>
      </c>
      <c r="D50" s="87" t="s">
        <v>158</v>
      </c>
      <c r="J50" s="86">
        <v>0.66698999999999997</v>
      </c>
      <c r="K50" s="86">
        <f t="shared" si="0"/>
        <v>0.65900000000000003</v>
      </c>
      <c r="O50" s="88">
        <v>0.65900000000000003</v>
      </c>
    </row>
    <row r="51" spans="1:15" ht="13.5" customHeight="1" x14ac:dyDescent="0.35">
      <c r="A51" s="5"/>
      <c r="B51" s="5" t="s">
        <v>159</v>
      </c>
      <c r="C51" s="86">
        <v>0.64500000000000002</v>
      </c>
      <c r="D51" s="87" t="s">
        <v>160</v>
      </c>
      <c r="J51" s="86">
        <v>0.65454000000000001</v>
      </c>
      <c r="K51" s="86">
        <f t="shared" si="0"/>
        <v>0.64500000000000002</v>
      </c>
      <c r="O51" s="88">
        <v>0.64500000000000002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Dimensionador</vt:lpstr>
      <vt:lpstr>Fluxo 20 Anos</vt:lpstr>
      <vt:lpstr>Premissas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Francisco Azevedo</cp:lastModifiedBy>
  <cp:revision>0</cp:revision>
  <cp:lastPrinted>2026-06-30T17:48:03Z</cp:lastPrinted>
  <dcterms:created xsi:type="dcterms:W3CDTF">2026-06-15T18:37:53Z</dcterms:created>
  <dcterms:modified xsi:type="dcterms:W3CDTF">2026-06-30T19:20:16Z</dcterms:modified>
  <dc:language>en-US</dc:language>
</cp:coreProperties>
</file>